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immi\Downloads\"/>
    </mc:Choice>
  </mc:AlternateContent>
  <bookViews>
    <workbookView xWindow="0" yWindow="0" windowWidth="17256" windowHeight="5772"/>
  </bookViews>
  <sheets>
    <sheet name="Task Tracker" sheetId="1" r:id="rId1"/>
    <sheet name="Legend &amp; Summary"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9" i="2" l="1"/>
  <c r="I19" i="2"/>
  <c r="E22" i="2"/>
  <c r="D22" i="2"/>
  <c r="I22" i="2" l="1"/>
  <c r="H22" i="2"/>
  <c r="H20" i="2"/>
  <c r="H19" i="2"/>
  <c r="G21" i="2"/>
  <c r="G20" i="2"/>
  <c r="G19" i="2"/>
  <c r="F21" i="2"/>
  <c r="F20" i="2"/>
  <c r="F19" i="2"/>
  <c r="E19" i="2"/>
  <c r="E20" i="2"/>
  <c r="E21" i="2"/>
  <c r="D21" i="2"/>
  <c r="D20" i="2"/>
  <c r="D19" i="2"/>
  <c r="C22" i="2"/>
  <c r="D23" i="2" l="1"/>
  <c r="D25" i="2" s="1"/>
  <c r="C23" i="2"/>
  <c r="C25" i="2" s="1"/>
  <c r="I23" i="2"/>
  <c r="I25" i="2" s="1"/>
  <c r="H23" i="2"/>
  <c r="H25" i="2" s="1"/>
  <c r="G23" i="2"/>
  <c r="G25" i="2" s="1"/>
  <c r="F23" i="2"/>
  <c r="F25" i="2" s="1"/>
  <c r="E23" i="2"/>
  <c r="E25" i="2" s="1"/>
</calcChain>
</file>

<file path=xl/sharedStrings.xml><?xml version="1.0" encoding="utf-8"?>
<sst xmlns="http://schemas.openxmlformats.org/spreadsheetml/2006/main" count="456" uniqueCount="358">
  <si>
    <t>#</t>
  </si>
  <si>
    <t>Task</t>
  </si>
  <si>
    <t>Description</t>
  </si>
  <si>
    <t>Assignee</t>
  </si>
  <si>
    <t>1.1</t>
  </si>
  <si>
    <t>Kick-off meeting and project charter</t>
  </si>
  <si>
    <t>Conduct internal kick-off with full team, define delivery scope, assign responsibilities, agree on communication cadence and sprint structure</t>
  </si>
  <si>
    <t>Yazan Abu Osbeh</t>
  </si>
  <si>
    <t>1.2</t>
  </si>
  <si>
    <t>Meet with PSUT eLearning team to understand LMS structure, document management workflows, material publishing process, and API availability for integration</t>
  </si>
  <si>
    <t>1.3</t>
  </si>
  <si>
    <t>Meet with PSUT portal IT team to understand portal architecture, available API endpoints, survey data structure, and report delivery and display requirements</t>
  </si>
  <si>
    <t>1.4</t>
  </si>
  <si>
    <t>Meet with PSUT registration department to understand academic record data structure, data access method options, and semester data delivery process</t>
  </si>
  <si>
    <t>1.5</t>
  </si>
  <si>
    <t>Meet with PSUT academic governance team to understand compliance requirements, data privacy constraints, and report approval and sign-off process</t>
  </si>
  <si>
    <t>1.6</t>
  </si>
  <si>
    <t>Requirements consolidation and sign-off</t>
  </si>
  <si>
    <t>Consolidate all stakeholder inputs into a unified requirements document, circulate for review, and obtain written sign-off from PSUT before development begins</t>
  </si>
  <si>
    <t>1.7</t>
  </si>
  <si>
    <t>Sprint planning and milestone scheduling</t>
  </si>
  <si>
    <t>Break Phase 2 scope into sprints, assign tasks to team members, define milestone acceptance criteria, and set up internal progress tracking</t>
  </si>
  <si>
    <t>1.8</t>
  </si>
  <si>
    <t>System architecture design</t>
  </si>
  <si>
    <t>Mahmoud Qaddoura</t>
  </si>
  <si>
    <t>1.9</t>
  </si>
  <si>
    <t>Architecture review and sign-off</t>
  </si>
  <si>
    <t>Review architecture design with team leads, incorporate feedback, and obtain internal sign-off before development begins</t>
  </si>
  <si>
    <t>1.10</t>
  </si>
  <si>
    <t>Database schema design</t>
  </si>
  <si>
    <t>1.11</t>
  </si>
  <si>
    <t>Database schema peer review</t>
  </si>
  <si>
    <t>Peer review schema design with fullstack engineer, finalise table relationships, confirm JSONB usage for report storage, validate indexing strategy</t>
  </si>
  <si>
    <t>Mohammad Abzakh</t>
  </si>
  <si>
    <t>1.12</t>
  </si>
  <si>
    <t>FastAPI project scaffold and repository setup</t>
  </si>
  <si>
    <t>1.13</t>
  </si>
  <si>
    <t>Core configuration and environment management</t>
  </si>
  <si>
    <t>Implement Pydantic Settings class, define .env structure, document all required environment variables with descriptions and defaults</t>
  </si>
  <si>
    <t>1.14</t>
  </si>
  <si>
    <t>Docker and Docker Compose setup</t>
  </si>
  <si>
    <t>Write Dockerfile for application image, docker-compose for PostgreSQL and Qdrant services, configure volume mounts, networking, and health checks</t>
  </si>
  <si>
    <t>1.15</t>
  </si>
  <si>
    <t>CI/CD pipeline setup</t>
  </si>
  <si>
    <t>Configure GitHub Actions workflow with lint, type check, test, build, and deploy stages. Integrate Ruff for linting and Mypy for type checking</t>
  </si>
  <si>
    <t>1.16</t>
  </si>
  <si>
    <t>Alembic migration setup</t>
  </si>
  <si>
    <t>Initialise Alembic, configure async engine connection, write initial migration from approved schema design, verify migration on fresh database</t>
  </si>
  <si>
    <t>1.17</t>
  </si>
  <si>
    <t>SQLAlchemy ORM models</t>
  </si>
  <si>
    <t>Abed Al Qader Madi</t>
  </si>
  <si>
    <t>1.18</t>
  </si>
  <si>
    <t>Base repository pattern</t>
  </si>
  <si>
    <t>Implement abstract base repository with generic CRUD operations, async session dependency injection, and standardised error handling</t>
  </si>
  <si>
    <t>Yehya Mujahid</t>
  </si>
  <si>
    <t>1.19</t>
  </si>
  <si>
    <t>JWT authentication foundation</t>
  </si>
  <si>
    <t>Implement JWT token generation and validation, password hashing with bcrypt, auth middleware, token refresh logic, and protected route dependency</t>
  </si>
  <si>
    <t>1.20</t>
  </si>
  <si>
    <t>Role-based access control</t>
  </si>
  <si>
    <t>1.21</t>
  </si>
  <si>
    <t>Qdrant setup and per-semester collection strategy</t>
  </si>
  <si>
    <t>Deploy Qdrant instance, define per-semester collection naming convention, implement collection creation and management utilities, test upsert and similarity query</t>
  </si>
  <si>
    <t>1.22</t>
  </si>
  <si>
    <t>Write system architecture document covering subsystem overview, component diagram, data flow diagrams, integration points, and infrastructure topology. To be completed after architecture sign-off.</t>
  </si>
  <si>
    <t>1.23</t>
  </si>
  <si>
    <t>Write developer onboarding and environment setup guide covering repository structure, local environment setup, Docker usage, environment variables, and running the application locally.</t>
  </si>
  <si>
    <t>2.1</t>
  </si>
  <si>
    <t>PSUT LMS API client</t>
  </si>
  <si>
    <t>2.2</t>
  </si>
  <si>
    <t>LMS document sync service</t>
  </si>
  <si>
    <t>Implement poll or webhook handler for LMS document publish and update events, download file to local storage, trigger document indexing pipeline on receipt</t>
  </si>
  <si>
    <t>2.3</t>
  </si>
  <si>
    <t>Institutional data sync service</t>
  </si>
  <si>
    <t>Consume PSUT academic API or ingest structured data dump to sync courses, course sections, student enrolments, and instructor assignments on configurable semester-start schedule</t>
  </si>
  <si>
    <t>2.4</t>
  </si>
  <si>
    <t>APScheduler integration</t>
  </si>
  <si>
    <t>Configure APScheduler for document sync, institutional data sync, notification aggregation, and semester-start trigger jobs. Implement job monitoring and failure alerting</t>
  </si>
  <si>
    <t>2.5</t>
  </si>
  <si>
    <t>Data access and API credential provisioning</t>
  </si>
  <si>
    <t>2.6</t>
  </si>
  <si>
    <t>Document ingestion pipeline</t>
  </si>
  <si>
    <t>Implement file type detection, text extraction for PDF, DOCX, PPTX, and TXT formats, language detection, semantic chunking with configurable chunk size and overlap strategy</t>
  </si>
  <si>
    <t>2.7</t>
  </si>
  <si>
    <t>Embedding pipeline</t>
  </si>
  <si>
    <t>2.8</t>
  </si>
  <si>
    <t>RAG retrieval service</t>
  </si>
  <si>
    <t>Implement vector similarity search on Qdrant with course and semester metadata filters, top-k chunk retrieval, overlapping chunk deduplication, and relevance scoring</t>
  </si>
  <si>
    <t>2.9</t>
  </si>
  <si>
    <t>Prompt and context assembly service</t>
  </si>
  <si>
    <t>Implement system prompt builder, context window assembly from retrieved chunks, chat history injection, query normalisation, and token budget management</t>
  </si>
  <si>
    <t>2.10</t>
  </si>
  <si>
    <t>OpenAI GPT-4.1 streaming client</t>
  </si>
  <si>
    <t>Implement async OpenAI client with streaming response support, SSE chunk wrapper, rate limit handling with retry, token usage tracking, and error classification</t>
  </si>
  <si>
    <t>2.11</t>
  </si>
  <si>
    <t>Chat session management</t>
  </si>
  <si>
    <t>Implement chat session creation, retrieval, and course-scoped session isolation. Handle session expiry, orphaned session cleanup, and concurrent session limits per user</t>
  </si>
  <si>
    <t>2.12</t>
  </si>
  <si>
    <t>Chat API endpoint</t>
  </si>
  <si>
    <t>Implement POST /chat with StreamingResponse, authentication and enrolment guard, session management integration, full RAG pipeline invocation, and SSE response streaming</t>
  </si>
  <si>
    <t>2.13</t>
  </si>
  <si>
    <t>Chat history persistence</t>
  </si>
  <si>
    <t>Persist user and assistant turns to ChatMessage table after each exchange, retrieve bounded history window for context injection, implement history pruning strategy</t>
  </si>
  <si>
    <t>2.14</t>
  </si>
  <si>
    <t>Unanswered question detection</t>
  </si>
  <si>
    <t>Implement heuristic and retrieval confidence-based detection for queries the knowledge base cannot answer, flag and persist unanswered queries with course and user context</t>
  </si>
  <si>
    <t>2.15</t>
  </si>
  <si>
    <t>Unanswered question notification service</t>
  </si>
  <si>
    <t>Aggregate flagged unanswered questions per course, generate lecturer in-platform notification with question list, persist notification records with read and dismiss state</t>
  </si>
  <si>
    <t>2.16</t>
  </si>
  <si>
    <t>Smart notification service</t>
  </si>
  <si>
    <t>Implement student notification on new material availability and lecturer notification when student engagement drops below configurable threshold. Support notification preferences per user</t>
  </si>
  <si>
    <t>2.17</t>
  </si>
  <si>
    <t>Quiz generation service</t>
  </si>
  <si>
    <t>Implement past paper upload handler, text extraction, quiz generation prompt construction, GPT-4.1 invocation, structured quiz output parsing and persistence with course and paper linkage</t>
  </si>
  <si>
    <t>2.18</t>
  </si>
  <si>
    <t>Quiz API endpoints</t>
  </si>
  <si>
    <t>Implement POST /quizzes for past paper upload and quiz generation, GET /quizzes/{course_id} for quiz retrieval, authentication and lecturer-only upload guard</t>
  </si>
  <si>
    <t>2.19</t>
  </si>
  <si>
    <t>Performance report generation service</t>
  </si>
  <si>
    <t>Aggregate student interaction data per course, construct report prompt with retrieved context, invoke GPT-4.1, parse structured report output, persist with course and lecturer linkage</t>
  </si>
  <si>
    <t>2.20</t>
  </si>
  <si>
    <t>Performance report API endpoints</t>
  </si>
  <si>
    <t>Implement POST /reports/generate for report creation, GET /reports/{id} for retrieval, authentication and lecturer-only access guard, report status polling endpoint</t>
  </si>
  <si>
    <t>2.21</t>
  </si>
  <si>
    <t>Audit logging middleware</t>
  </si>
  <si>
    <t>2.22</t>
  </si>
  <si>
    <t>Document usage tracking</t>
  </si>
  <si>
    <t>Increment per-document usage counters and update last-used timestamp on every retrieval event. Expose aggregated usage statistics per course</t>
  </si>
  <si>
    <t>2.23</t>
  </si>
  <si>
    <t>Analytics API endpoints</t>
  </si>
  <si>
    <t>Implement GET /analytics/engagement, /analytics/document-usage, /analytics/unanswered-questions with lecturer and admin role scoping and semester filtering</t>
  </si>
  <si>
    <t>2.24</t>
  </si>
  <si>
    <t>Frontend integration and API contract alignment</t>
  </si>
  <si>
    <t>Audit existing frontend API calls against new backend contracts, update request structures and response handlers, resolve breaking changes, verify all existing UI flows against new backend</t>
  </si>
  <si>
    <t>2.25</t>
  </si>
  <si>
    <t>Lina Khalil</t>
  </si>
  <si>
    <t>2.26</t>
  </si>
  <si>
    <t>Write Pytest unit tests for chat service, document ingestion, embedding pipeline, RAG retrieval, notification service, quiz generation, and report generation with mocked external dependencies</t>
  </si>
  <si>
    <t>2.27</t>
  </si>
  <si>
    <t>Write and execute end-to-end integration tests for AI Tutor against staging environment with live LMS and academic data integrations, validate all API endpoints and data flows</t>
  </si>
  <si>
    <t>2.28</t>
  </si>
  <si>
    <t>2.29</t>
  </si>
  <si>
    <t>2.30</t>
  </si>
  <si>
    <t>Document test plan covering scope, test cases, pass/fail criteria, and environment setup. Append test execution results and any defects raised during AI Tutor testing.</t>
  </si>
  <si>
    <t>3.1</t>
  </si>
  <si>
    <t>3.2</t>
  </si>
  <si>
    <t>Data dump parser</t>
  </si>
  <si>
    <t>3.3</t>
  </si>
  <si>
    <t>Direct database read adapter</t>
  </si>
  <si>
    <t>Implement read-only SQLAlchemy connection to PSUT academic database, query student records across relevant tables, map to internal schema with field validation</t>
  </si>
  <si>
    <t>3.4</t>
  </si>
  <si>
    <t>PSUT academic API adapter</t>
  </si>
  <si>
    <t>Implement HTTP client for PSUT student data API with paginated fetch, response mapping to internal schema, error handling, and rate limit compliance</t>
  </si>
  <si>
    <t>3.5</t>
  </si>
  <si>
    <t>Student survey ingestion</t>
  </si>
  <si>
    <t>Consume end-of-semester student survey responses from PSUT portal API or structured export, validate response completeness, and persist per student per semester with linkage to academic record</t>
  </si>
  <si>
    <t>3.6</t>
  </si>
  <si>
    <t>3.7</t>
  </si>
  <si>
    <t>Parallel batch worker</t>
  </si>
  <si>
    <t>Implement two concurrent worker processes each independently claiming and processing jobs from the queue. Support configurable concurrency level and graceful shutdown on signal</t>
  </si>
  <si>
    <t>3.8</t>
  </si>
  <si>
    <t>Retry logic and dead letter handling</t>
  </si>
  <si>
    <t>Implement per-job retry counter with configurable maximum, exponential backoff between attempts, permanent failure promotion to dead letter log with error detail, and admin-accessible dead letter endpoint</t>
  </si>
  <si>
    <t>3.9</t>
  </si>
  <si>
    <t>Watchdog mechanism</t>
  </si>
  <si>
    <t>Implement background coroutine that periodically scans for jobs stuck in in_progress state beyond configurable timeout, requeues stalled jobs, and logs recovery events</t>
  </si>
  <si>
    <t>3.10</t>
  </si>
  <si>
    <t>Semester-end cron trigger</t>
  </si>
  <si>
    <t>Implement APScheduler job firing at configured semester-end date to enqueue all active students into the report job queue, with duplicate prevention and run logging</t>
  </si>
  <si>
    <t>3.11</t>
  </si>
  <si>
    <t>Batch monitoring endpoints</t>
  </si>
  <si>
    <t>3.12</t>
  </si>
  <si>
    <t>Ollama client for local model</t>
  </si>
  <si>
    <t>Implement async Ollama HTTP client with request construction, streaming response handling, timeout management, error classification, and multi-instance round-robin load distribution</t>
  </si>
  <si>
    <t>3.13</t>
  </si>
  <si>
    <t>Report generation prompt engineering</t>
  </si>
  <si>
    <t>Design, iterate, and validate system and user prompt templates for course recommendations, elective guidance, and career path sections. Test across diverse student profile scenarios with academic record and survey context inputs</t>
  </si>
  <si>
    <t>3.14</t>
  </si>
  <si>
    <t>Structured output parsing and validation</t>
  </si>
  <si>
    <t>3.15</t>
  </si>
  <si>
    <t>Report JSONB storage</t>
  </si>
  <si>
    <t>Persist structured report data to AcademicReport table with student ID, semester, generation timestamp, model version, and generation metadata. Implement idempotent upsert for re-generation scenarios</t>
  </si>
  <si>
    <t>3.16</t>
  </si>
  <si>
    <t>PDF rendering pipeline</t>
  </si>
  <si>
    <t>Merge structured report data with PSUT official PDF template using WeasyPrint or ReportLab. Stream rendered PDF on demand. Support template version management for future template updates</t>
  </si>
  <si>
    <t>3.17</t>
  </si>
  <si>
    <t>Report retrieval API endpoint</t>
  </si>
  <si>
    <t>3.18</t>
  </si>
  <si>
    <t>Report ready notification</t>
  </si>
  <si>
    <t>Trigger student notification through PSUT portal API when report generation completes successfully. Include fallback for portal API unavailability with retry queue</t>
  </si>
  <si>
    <t>3.19</t>
  </si>
  <si>
    <t>Synthetic training data pipeline</t>
  </si>
  <si>
    <t>Implement script to generate diverse synthetic student academic profiles covering strong performers, at-risk students, mixed performance, various years and programmes. Generate paired advisory report outputs using GPT-4.1. Export as JSONL training dataset</t>
  </si>
  <si>
    <t>3.20</t>
  </si>
  <si>
    <t>LoRA fine-tuning script</t>
  </si>
  <si>
    <t>Configure and execute LoRA fine-tuning on selected base model using Hugging Face PEFT library. Implement training loop with checkpoint saving, evaluation metric logging, and export of fine-tuned weights for production deployment</t>
  </si>
  <si>
    <t>3.21</t>
  </si>
  <si>
    <t>Model validation and deployment packaging</t>
  </si>
  <si>
    <t>Validate fine-tuned model against held-out test profiles, compare output quality against base model baseline, package model weights for transfer to production GPU server</t>
  </si>
  <si>
    <t>3.22</t>
  </si>
  <si>
    <t>Write Pytest unit tests for data ingestion module, batch worker job claiming and state transitions, watchdog mechanism, prompt builder, structured output parser, and PDF renderer</t>
  </si>
  <si>
    <t>3.23</t>
  </si>
  <si>
    <t>Execute full pilot batch generation against representative synthetic student dataset in staging environment. Validate report structure, content quality, generation throughput, retry behaviour, and dead letter handling</t>
  </si>
  <si>
    <t>3.24</t>
  </si>
  <si>
    <t>Test report retrieval API end-to-end with PSUT student portal team in staging environment. Validate authentication, PDF rendering, response times, and error handling for edge cases</t>
  </si>
  <si>
    <t>3.25</t>
  </si>
  <si>
    <t>3.26</t>
  </si>
  <si>
    <t>Document the batch report generation architecture, job queue design, cron trigger configuration, retry logic, and watchdog behaviour. Include fine-tuning pipeline steps, dataset preparation, training configuration, and model deployment process</t>
  </si>
  <si>
    <t>3.27</t>
  </si>
  <si>
    <t>Document test plan for Academic Advisor covering batch generation, portal integration, and report quality validation. Append test execution results, defect log, and sign-off checklist</t>
  </si>
  <si>
    <t>4.1</t>
  </si>
  <si>
    <t>Simulate concurrent student and lecturer traffic on AI Tutor using Locust or k6. Test chat endpoint under peak exam-period load, measure response latency, error rate, and throughput at defined concurrency levels</t>
  </si>
  <si>
    <t>4.2</t>
  </si>
  <si>
    <t>Benchmark full 5,000-student batch generation run in staging environment. Measure per-report generation time, worker throughput, queue drain rate, and GPU utilisation across the batch window</t>
  </si>
  <si>
    <t>4.3</t>
  </si>
  <si>
    <t>Performance bottleneck resolution</t>
  </si>
  <si>
    <t>Analyse load test results, identify bottlenecks in database queries, API response times, or inference throughput, implement targeted optimisations, and retest to verify improvement</t>
  </si>
  <si>
    <t>4.4</t>
  </si>
  <si>
    <t>Test JWT token validation, token expiry enforcement, role-based access control boundaries, course-scoped enrolment checks, and unauthorised access rejection across all endpoints</t>
  </si>
  <si>
    <t>Mohammad Al Balawi</t>
  </si>
  <si>
    <t>4.5</t>
  </si>
  <si>
    <t>Test cross-user and cross-course data isolation, SQL injection resistance across all database query paths, prompt injection resistance in AI endpoints, and API key exposure in logs and responses</t>
  </si>
  <si>
    <t>4.6</t>
  </si>
  <si>
    <t>4.7</t>
  </si>
  <si>
    <t>Security findings remediation</t>
  </si>
  <si>
    <t>Review all security test findings, prioritise by severity, implement fixes for all critical and high findings, retest remediated items to confirm resolution</t>
  </si>
  <si>
    <t>4.8</t>
  </si>
  <si>
    <t>Production environment configuration</t>
  </si>
  <si>
    <t>4.9</t>
  </si>
  <si>
    <t>Academic Advisor GPU server setup</t>
  </si>
  <si>
    <t>4.10</t>
  </si>
  <si>
    <t>4.11</t>
  </si>
  <si>
    <t>Deploy Academic Advisor API and batch worker to production GPU server, verify database connectivity and job queue operation, run pilot batch on small student subset, confirm PDF generation and portal delivery</t>
  </si>
  <si>
    <t>4.12</t>
  </si>
  <si>
    <t>Monitoring and observability setup</t>
  </si>
  <si>
    <t>4.13</t>
  </si>
  <si>
    <t>UAT coordination with PSUT stakeholders</t>
  </si>
  <si>
    <t>4.14</t>
  </si>
  <si>
    <t>Go-live stakeholder communication</t>
  </si>
  <si>
    <t>4.15</t>
  </si>
  <si>
    <t>Post-launch monitoring and issue triage</t>
  </si>
  <si>
    <t>Monitor production systems during initial go-live period, triage and prioritise any reported issues, coordinate hotfix deployment if critical issues arise, and provide daily status updates to PSUT</t>
  </si>
  <si>
    <t>4.16</t>
  </si>
  <si>
    <t>Write comprehensive deployment guide covering production environment setup, environment variable reference, Nginx configuration, SSL setup, service startup and shutdown procedures, and rollback steps</t>
  </si>
  <si>
    <t>4.17</t>
  </si>
  <si>
    <t>4.18</t>
  </si>
  <si>
    <t>4.19</t>
  </si>
  <si>
    <t>4.20</t>
  </si>
  <si>
    <t>Write end-user documentation for lecturers, students, and admins covering platform features, how-to guides for key workflows, FAQ, and troubleshooting. Prepare training material slides for PSUT onboarding session</t>
  </si>
  <si>
    <t>4.21</t>
  </si>
  <si>
    <t>Project closure and handover</t>
  </si>
  <si>
    <t>Prepare project closure report, conduct knowledge transfer session with PSUT IT team, hand over all credentials, documentation, and repository access, and obtain final project sign-off from PSUT</t>
  </si>
  <si>
    <t>Project Legend &amp; Workload Summary</t>
  </si>
  <si>
    <t>Colour Legend — Grouped by Role</t>
  </si>
  <si>
    <t>Milestone 1 — Requirements &amp; Foundation</t>
  </si>
  <si>
    <t>Milestone 2 — AI Tutor Core</t>
  </si>
  <si>
    <t>Milestone 3 — Academic Advisor Core</t>
  </si>
  <si>
    <t>Milestone 4 — Integration, Testing &amp; Deployment</t>
  </si>
  <si>
    <t>Milestone</t>
  </si>
  <si>
    <t>Timeline</t>
  </si>
  <si>
    <t>Yazan
(PM)</t>
  </si>
  <si>
    <t>Mahmoud
(Lead AI)</t>
  </si>
  <si>
    <t>Yehya
(AI Dev)</t>
  </si>
  <si>
    <t>Stakeholder requirements gathering - eLearning department</t>
  </si>
  <si>
    <t>Stakeholder requirements gathering - student portal IT</t>
  </si>
  <si>
    <t>Stakeholder requirements gathering - student registration</t>
  </si>
  <si>
    <t>Stakeholder requirements gathering - academic governance</t>
  </si>
  <si>
    <t>Documentation - system architecture</t>
  </si>
  <si>
    <t>Documentation - development environment setup guide</t>
  </si>
  <si>
    <t>QA - unit tests for AI Tutor repositories</t>
  </si>
  <si>
    <t>QA - unit tests for AI Tutor services</t>
  </si>
  <si>
    <t>QA - integration tests for AI Tutor</t>
  </si>
  <si>
    <t>Documentation - AI Tutor API reference</t>
  </si>
  <si>
    <t>Documentation - RAG pipeline and knowledge base</t>
  </si>
  <si>
    <t>Documentation - QA test plan and test results - AI Tutor</t>
  </si>
  <si>
    <t>Academic data ingestion module - abstraction layer</t>
  </si>
  <si>
    <t>Report job queue - table and worker base</t>
  </si>
  <si>
    <t>QA - unit tests for Academic Advisor components</t>
  </si>
  <si>
    <t>QA - integration tests for Academic Advisor</t>
  </si>
  <si>
    <t>QA - portal integration testing</t>
  </si>
  <si>
    <t>Documentation - Academic Advisor API reference</t>
  </si>
  <si>
    <t>Documentation - batch processing and fine-tuning guide</t>
  </si>
  <si>
    <t>Documentation - QA test plan and test results - Academic Advisor</t>
  </si>
  <si>
    <t>Load testing - AI Tutor</t>
  </si>
  <si>
    <t>Load testing - Academic Advisor batch</t>
  </si>
  <si>
    <t>Security testing - authentication and authorisation</t>
  </si>
  <si>
    <t>Security testing - data isolation and injection</t>
  </si>
  <si>
    <t>Security testing - infrastructure and network</t>
  </si>
  <si>
    <t>Staged production deployment - AI Tutor</t>
  </si>
  <si>
    <t>Staged production deployment - Academic Advisor</t>
  </si>
  <si>
    <t>Documentation - deployment and configuration guide</t>
  </si>
  <si>
    <t>Documentation - system components and operations runbook</t>
  </si>
  <si>
    <t>Documentation - security controls and compliance</t>
  </si>
  <si>
    <t>Documentation - QA and testing summary report</t>
  </si>
  <si>
    <t>Documentation - user guide and training materials</t>
  </si>
  <si>
    <t>Design full technical architecture for both subsystems , data flows, service boundaries, integration points, API contracts, infrastructure topology</t>
  </si>
  <si>
    <t>Design full PostgreSQL schema , users, courses, enrolments, chat sessions, messages, documents, document chunks, audit logs, report jobs, academic reports</t>
  </si>
  <si>
    <t>Initialise fresh repository, set up project directory structure , api, services, repositories, models, schemas, clients, utils, core , and configure linting and type checking</t>
  </si>
  <si>
    <t>Implement all ORM models mapped to approved schema , User, Course, Section, Enrolment, ChatSession, ChatMessage, Document, DocumentChunk, AuditAI, ReportJob, AcademicReport</t>
  </si>
  <si>
    <t>Implement role enum , student, lecturer, admin , dependency guards per role, course-scoped enrolment checks, and unauthorised access error handling</t>
  </si>
  <si>
    <t>Implement async HTTP client wrapping PSUT LMS API , authentication headers, request construction, retry logic with exponential backoff, timeout handling, and error classification</t>
  </si>
  <si>
    <t>Receive, securely store, and validate all required credentials and API keys from PSUT , LMS API, academic data system, student portal , and verify connectivity to each</t>
  </si>
  <si>
    <t>Implement OpenAI text-embedding-3-small client with batch embedding support, upsert vectors to Qdrant with full metadata payload , document ID, chunk ID, course ID, semester, filename, hash</t>
  </si>
  <si>
    <t>Implement request interceptor writing audit record to AuditAI table for every AI response , query text, model output, documents accessed, token usage, latency, timestamp</t>
  </si>
  <si>
    <t>Write Pytest unit tests for all AI Tutor repository CRUD operations , chat sessions, messages, documents, audit records , against isolated test database</t>
  </si>
  <si>
    <t>Write complete API reference documentation for all AI Tutor endpoints , request and response schemas, authentication requirements, error codes, and usage examples. Generated via FastAPI auto-docs and supplemented with narrative documentation.</t>
  </si>
  <si>
    <t>Document the RAG pipeline , document ingestion flow, chunking strategy, embedding model, Qdrant collection structure, retrieval logic, and prompt assembly. Includes configuration parameters and tuning guidance.</t>
  </si>
  <si>
    <t>Implement abstract ingestion interface with common output schema supporting three interchangeable input methods , data dump, direct DB read, REST API , without requiring changes to downstream components</t>
  </si>
  <si>
    <t>Implement parser for structured CSV or SQL dump of student academic records , completed courses, grades, GPA, credit hours, study plan, enrolment year, expected graduation , with validation and error reporting</t>
  </si>
  <si>
    <t>Create ReportJob table with status state machine , pending, in_progress, completed, failed, dead_letter. Implement SELECT FOR UPDATE SKIP LOCKED job claiming and worker base class with status transition methods</t>
  </si>
  <si>
    <t>Implement GET /advisor/jobs/status returning batch run progress , total, pending, in_progress, completed, failed counts , and GET /advisor/jobs/dead-letter listing permanently failed jobs with error details</t>
  </si>
  <si>
    <t>Implement parser for LLM JSON output into typed report schema , course recommendations list, elective guidance list, career path section. Validate completeness, handle malformed output, trigger retry on parse failure</t>
  </si>
  <si>
    <t>Implement GET /advisor/report/{student_id}/{semester} , validate portal authentication token, fetch structured report from database, render PDF, return as streamed file response</t>
  </si>
  <si>
    <t>Write complete API reference for all Academic Advisor endpoints , report retrieval, job status, dead letter , including authentication requirements, response schemas, error codes, and integration guidance for the PSUT portal team</t>
  </si>
  <si>
    <t>Test production server hardening , open port exposure, SSL/TLS configuration, HTTP security headers, secrets management, environment variable exposure, and Docker container isolation</t>
  </si>
  <si>
    <t>Configure production server , environment variables, secrets management via vault or encrypted env files, Nginx reverse proxy with SSL termination, firewall rules, and service startup scripts</t>
  </si>
  <si>
    <t>Configure PSUT on-premises GPU server , install CUDA toolkit, Ollama, deploy fine-tuned model weights, configure parallel inference instances, verify batch worker connectivity and job processing</t>
  </si>
  <si>
    <t>Deploy AI Tutor to production in staged rollout , deploy backend first, run smoke tests, enable for limited user group, monitor error rates and latency, proceed to full rollout on confirmation</t>
  </si>
  <si>
    <t>Configure Prometheus metrics collection and Grafana dashboards for both subsystems , API latency, error rates, request throughput, GPU utilisation, inference latency, batch job progress, and storage usage</t>
  </si>
  <si>
    <t>Coordinate user acceptance testing with PSUT representatives , eLearning team, lecturers, student portal team. Manage UAT schedule, collect structured feedback, log issues, and obtain written UAT sign-off</t>
  </si>
  <si>
    <t>Prepare and distribute go-live communication to PSUT stakeholders , announcement of platform availability, user guidance, support contact information, and known limitations</t>
  </si>
  <si>
    <t>Document all system components, their responsibilities, dependencies, and operational procedures , how to restart services, handle common failure scenarios, manage semester transitions, and perform routine maintenance</t>
  </si>
  <si>
    <t>Document all security controls implemented across both subsystems , authentication mechanism, authorisation model, data isolation approach, secrets management, audit logging, and data privacy measures</t>
  </si>
  <si>
    <t>Compile final QA summary report covering all testing phases , unit, integration, load, security, and UAT. Include test coverage metrics, defect summary, resolution status, and overall quality sign-off</t>
  </si>
  <si>
    <t>PSUT LLM Engine - Phase 2 Project Task Breakdown</t>
  </si>
  <si>
    <t>Abed Al Qader Madi — AI Engineer — AI development tasks</t>
  </si>
  <si>
    <t>Mahmoud Qaddoura — Lead AI Engineer — Architecture, RAG pipeline, prompt engineering, fine-tuning</t>
  </si>
  <si>
    <t>Yazan Abu Osbeh — Project Manager — Stakeholder coordination, project management, UAT, handover</t>
  </si>
  <si>
    <t>Yehya Mujahid — AI Full Stack Developer — AI development tasks</t>
  </si>
  <si>
    <t>Mohammad Abzakh — Full Stack Lead — Backend APIs, frontend</t>
  </si>
  <si>
    <t>Lina Khalil — Devops and Systems Engineer — deployment, DevOps, monitoring</t>
  </si>
  <si>
    <t>Mohammad Al Balawi — Dev-Secops and systems Lead — Security and penetration testing, deployment, DevOps, monitoring</t>
  </si>
  <si>
    <t>Abzakh
(Fullstack Lead)</t>
  </si>
  <si>
    <t>Abed
(AI Eng)</t>
  </si>
  <si>
    <t>Lina
(Devops)</t>
  </si>
  <si>
    <t>Balawi
(Security &amp; Devops lead)</t>
  </si>
  <si>
    <t>~34 Weeks / 8 Months</t>
  </si>
  <si>
    <t xml:space="preserve">  Milestone 1 - Requirements &amp; Foundation  ·  Weeks 1-6</t>
  </si>
  <si>
    <t xml:space="preserve">  Milestone 2 - AI Tutor Core  ·  Weeks 6-16</t>
  </si>
  <si>
    <t xml:space="preserve">  Milestone 3 - Academic Advisor Core  ·  Weeks 16-26</t>
  </si>
  <si>
    <t xml:space="preserve">  Milestone 4 - Integration, Testing &amp; Deployment  ·  Weeks 26-34</t>
  </si>
  <si>
    <t xml:space="preserve"> </t>
  </si>
  <si>
    <t>Hourly Rate</t>
  </si>
  <si>
    <t>JoD/Hour</t>
  </si>
  <si>
    <t>TOTAL Reimbursement Rounded</t>
  </si>
  <si>
    <t xml:space="preserve">Total Cost = Total Days × 8 × Hourly Rate × 1.20
</t>
  </si>
  <si>
    <t>Est. Acc Days</t>
  </si>
  <si>
    <t>Weeks 1–6 (30 B.D)</t>
  </si>
  <si>
    <t>Weeks 6–16 (50 B.D)</t>
  </si>
  <si>
    <t>Weeks 16–26 (50 B.D)</t>
  </si>
  <si>
    <t>Weeks 26–34 (40 B.D)</t>
  </si>
  <si>
    <t>Estimated Effort in Accumulated Work Days: 244 | Total Business days: 50</t>
  </si>
  <si>
    <t>Estimated Effort in Accumulated Work Days: 124 | Total Business days: 30</t>
  </si>
  <si>
    <t>Estimated Effort in Accumulated Work Days: 150 | Total Business days: 40</t>
  </si>
  <si>
    <t>TOTAL Effort</t>
  </si>
  <si>
    <t>Workload Summary of Effort Days and Business Days by Milestone</t>
  </si>
  <si>
    <t>Estimated Effort in Accumulated Work Days: 226 | Total Business days: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</si>
</sst>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4"/>
      <color rgb="FFFFFFFF"/>
      <name val="Arial"/>
    </font>
    <font>
      <b/>
      <sz val="9"/>
      <color rgb="FFFFFFFF"/>
      <name val="Arial"/>
    </font>
    <font>
      <b/>
      <sz val="11"/>
      <color rgb="FFFFFFFF"/>
      <name val="Arial"/>
    </font>
    <font>
      <sz val="9"/>
      <name val="Arial"/>
    </font>
    <font>
      <b/>
      <sz val="9"/>
      <name val="Arial"/>
    </font>
    <font>
      <b/>
      <sz val="8"/>
      <color rgb="FFFFFFFF"/>
      <name val="Arial"/>
    </font>
    <font>
      <b/>
      <sz val="13"/>
      <color rgb="FFFFFFFF"/>
      <name val="Arial"/>
    </font>
    <font>
      <b/>
      <sz val="10"/>
      <name val="Arial"/>
    </font>
    <font>
      <b/>
      <sz val="10"/>
      <color rgb="FFFFFFFF"/>
      <name val="Arial"/>
    </font>
    <font>
      <b/>
      <sz val="9"/>
      <color rgb="FFFFFFFF"/>
      <name val="Arial"/>
      <family val="2"/>
    </font>
  </fonts>
  <fills count="19">
    <fill>
      <patternFill patternType="none"/>
    </fill>
    <fill>
      <patternFill patternType="gray125"/>
    </fill>
    <fill>
      <patternFill patternType="solid">
        <fgColor rgb="FF2C2C2C"/>
      </patternFill>
    </fill>
    <fill>
      <patternFill patternType="solid">
        <fgColor rgb="FF1F3864"/>
      </patternFill>
    </fill>
    <fill>
      <patternFill patternType="solid">
        <fgColor rgb="FFD6E4F7"/>
      </patternFill>
    </fill>
    <fill>
      <patternFill patternType="solid">
        <fgColor rgb="FFFFF2CC"/>
      </patternFill>
    </fill>
    <fill>
      <patternFill patternType="solid">
        <fgColor rgb="FFCCE5FF"/>
      </patternFill>
    </fill>
    <fill>
      <patternFill patternType="solid">
        <fgColor rgb="FFC8F0C8"/>
      </patternFill>
    </fill>
    <fill>
      <patternFill patternType="solid">
        <fgColor rgb="FFB3D9FF"/>
      </patternFill>
    </fill>
    <fill>
      <patternFill patternType="solid">
        <fgColor rgb="FF99CCFF"/>
      </patternFill>
    </fill>
    <fill>
      <patternFill patternType="solid">
        <fgColor rgb="FF1E5631"/>
      </patternFill>
    </fill>
    <fill>
      <patternFill patternType="solid">
        <fgColor rgb="FFD6EFD8"/>
      </patternFill>
    </fill>
    <fill>
      <patternFill patternType="solid">
        <fgColor rgb="FFFFE0B2"/>
      </patternFill>
    </fill>
    <fill>
      <patternFill patternType="solid">
        <fgColor rgb="FF7B3F00"/>
      </patternFill>
    </fill>
    <fill>
      <patternFill patternType="solid">
        <fgColor rgb="FFFDE8D8"/>
      </patternFill>
    </fill>
    <fill>
      <patternFill patternType="solid">
        <fgColor rgb="FF4A235A"/>
      </patternFill>
    </fill>
    <fill>
      <patternFill patternType="solid">
        <fgColor rgb="FFEDE0F5"/>
      </patternFill>
    </fill>
    <fill>
      <patternFill patternType="solid">
        <fgColor rgb="FFFFCDD2"/>
      </patternFill>
    </fill>
    <fill>
      <patternFill patternType="solid">
        <fgColor rgb="FFEEEEEE"/>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bottom/>
      <diagonal/>
    </border>
  </borders>
  <cellStyleXfs count="1">
    <xf numFmtId="0" fontId="0" fillId="0" borderId="0"/>
  </cellStyleXfs>
  <cellXfs count="60">
    <xf numFmtId="0" fontId="0" fillId="0" borderId="0" xfId="0"/>
    <xf numFmtId="0" fontId="2" fillId="2" borderId="1" xfId="0" applyFont="1" applyFill="1" applyBorder="1" applyAlignment="1">
      <alignment horizontal="center" vertical="center"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4" fillId="11" borderId="1" xfId="0" applyFont="1" applyFill="1" applyBorder="1" applyAlignment="1">
      <alignment horizontal="center" vertical="top" wrapText="1"/>
    </xf>
    <xf numFmtId="0" fontId="4" fillId="11"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4" fillId="14" borderId="1" xfId="0" applyFont="1" applyFill="1" applyBorder="1" applyAlignment="1">
      <alignment horizontal="center" vertical="top" wrapText="1"/>
    </xf>
    <xf numFmtId="0" fontId="4" fillId="14" borderId="1" xfId="0" applyFont="1" applyFill="1" applyBorder="1" applyAlignment="1">
      <alignment horizontal="left" vertical="top" wrapText="1"/>
    </xf>
    <xf numFmtId="0" fontId="4" fillId="16" borderId="1" xfId="0" applyFont="1" applyFill="1" applyBorder="1" applyAlignment="1">
      <alignment horizontal="center" vertical="top" wrapText="1"/>
    </xf>
    <xf numFmtId="0" fontId="4" fillId="16" borderId="1" xfId="0" applyFont="1" applyFill="1" applyBorder="1" applyAlignment="1">
      <alignment horizontal="left" vertical="top" wrapText="1"/>
    </xf>
    <xf numFmtId="0" fontId="5" fillId="17"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0" fillId="0" borderId="0" xfId="0"/>
    <xf numFmtId="0" fontId="10"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 fontId="0" fillId="0" borderId="0" xfId="0" applyNumberFormat="1"/>
    <xf numFmtId="0" fontId="6" fillId="10" borderId="1" xfId="0" applyFont="1" applyFill="1" applyBorder="1" applyAlignment="1">
      <alignment horizontal="center" vertical="center" wrapText="1"/>
    </xf>
    <xf numFmtId="0" fontId="0" fillId="0" borderId="0" xfId="0"/>
    <xf numFmtId="0" fontId="3" fillId="10" borderId="0" xfId="0" applyFont="1" applyFill="1" applyAlignment="1">
      <alignment horizontal="left" vertical="center"/>
    </xf>
    <xf numFmtId="0" fontId="3" fillId="13" borderId="0" xfId="0" applyFont="1" applyFill="1" applyAlignment="1">
      <alignment horizontal="left" vertical="center"/>
    </xf>
    <xf numFmtId="0" fontId="1" fillId="2" borderId="0" xfId="0" applyFont="1" applyFill="1" applyAlignment="1">
      <alignment horizontal="center" vertical="center" wrapText="1"/>
    </xf>
    <xf numFmtId="0" fontId="6" fillId="15" borderId="1" xfId="0" applyFont="1" applyFill="1" applyBorder="1" applyAlignment="1">
      <alignment horizontal="center" vertical="center" wrapText="1"/>
    </xf>
    <xf numFmtId="0" fontId="3" fillId="15" borderId="0" xfId="0" applyFont="1" applyFill="1" applyAlignment="1">
      <alignment horizontal="left" vertical="center"/>
    </xf>
    <xf numFmtId="0" fontId="6" fillId="1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3" borderId="0" xfId="0" applyFont="1" applyFill="1" applyAlignment="1">
      <alignment horizontal="left" vertical="center"/>
    </xf>
    <xf numFmtId="0" fontId="7" fillId="2" borderId="0" xfId="0" applyFont="1" applyFill="1" applyAlignment="1">
      <alignment horizontal="center" vertical="center" wrapText="1"/>
    </xf>
    <xf numFmtId="0" fontId="9" fillId="2" borderId="0" xfId="0" applyFont="1" applyFill="1" applyAlignment="1">
      <alignment horizontal="center" vertical="center" wrapText="1"/>
    </xf>
    <xf numFmtId="0" fontId="8" fillId="18" borderId="0" xfId="0" applyFont="1" applyFill="1" applyAlignment="1">
      <alignment horizontal="center" vertical="center" wrapText="1"/>
    </xf>
    <xf numFmtId="0" fontId="4" fillId="4" borderId="2" xfId="0" applyFont="1" applyFill="1" applyBorder="1"/>
    <xf numFmtId="0" fontId="4" fillId="4" borderId="0" xfId="0" applyFont="1" applyFill="1" applyBorder="1"/>
    <xf numFmtId="0" fontId="4" fillId="11" borderId="2" xfId="0" applyFont="1" applyFill="1" applyBorder="1"/>
    <xf numFmtId="0" fontId="4" fillId="11" borderId="0" xfId="0" applyFont="1" applyFill="1" applyBorder="1"/>
    <xf numFmtId="0" fontId="4" fillId="14" borderId="2" xfId="0" applyFont="1" applyFill="1" applyBorder="1"/>
    <xf numFmtId="0" fontId="4" fillId="14" borderId="0" xfId="0" applyFont="1" applyFill="1" applyBorder="1"/>
    <xf numFmtId="0" fontId="4" fillId="16" borderId="2" xfId="0" applyFont="1" applyFill="1" applyBorder="1"/>
    <xf numFmtId="0" fontId="4" fillId="16" borderId="0" xfId="0" applyFont="1" applyFill="1" applyBorder="1"/>
    <xf numFmtId="0" fontId="4" fillId="5" borderId="2" xfId="0" applyFont="1" applyFill="1" applyBorder="1"/>
    <xf numFmtId="0" fontId="4" fillId="5" borderId="0" xfId="0" applyFont="1" applyFill="1" applyBorder="1"/>
    <xf numFmtId="0" fontId="4" fillId="6" borderId="2" xfId="0" applyFont="1" applyFill="1" applyBorder="1"/>
    <xf numFmtId="0" fontId="4" fillId="6" borderId="0" xfId="0" applyFont="1" applyFill="1" applyBorder="1"/>
    <xf numFmtId="0" fontId="4" fillId="8" borderId="2" xfId="0" applyFont="1" applyFill="1" applyBorder="1"/>
    <xf numFmtId="0" fontId="4" fillId="8" borderId="0" xfId="0" applyFont="1" applyFill="1" applyBorder="1"/>
    <xf numFmtId="0" fontId="4" fillId="9" borderId="2" xfId="0" applyFont="1" applyFill="1" applyBorder="1"/>
    <xf numFmtId="0" fontId="4" fillId="9" borderId="0" xfId="0" applyFont="1" applyFill="1" applyBorder="1"/>
    <xf numFmtId="0" fontId="4" fillId="7" borderId="2" xfId="0" applyFont="1" applyFill="1" applyBorder="1"/>
    <xf numFmtId="0" fontId="4" fillId="7" borderId="0" xfId="0" applyFont="1" applyFill="1" applyBorder="1"/>
    <xf numFmtId="0" fontId="4" fillId="12" borderId="2" xfId="0" applyFont="1" applyFill="1" applyBorder="1"/>
    <xf numFmtId="0" fontId="4" fillId="12" borderId="0" xfId="0" applyFont="1" applyFill="1" applyBorder="1"/>
    <xf numFmtId="0" fontId="4" fillId="17" borderId="2" xfId="0" applyFont="1" applyFill="1" applyBorder="1"/>
    <xf numFmtId="0" fontId="4" fillId="17" borderId="0"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1"/>
  <sheetViews>
    <sheetView tabSelected="1" zoomScaleNormal="100" workbookViewId="0">
      <pane ySplit="2" topLeftCell="A3" activePane="bottomLeft" state="frozen"/>
      <selection pane="bottomLeft" activeCell="A2" sqref="A2:E2"/>
    </sheetView>
  </sheetViews>
  <sheetFormatPr defaultRowHeight="14.4" x14ac:dyDescent="0.3"/>
  <cols>
    <col min="1" max="1" width="7" customWidth="1"/>
    <col min="2" max="2" width="36" customWidth="1"/>
    <col min="3" max="3" width="62" customWidth="1"/>
    <col min="4" max="4" width="11" customWidth="1"/>
    <col min="5" max="5" width="26" customWidth="1"/>
  </cols>
  <sheetData>
    <row r="1" spans="1:5" ht="30" customHeight="1" x14ac:dyDescent="0.3">
      <c r="A1" s="29" t="s">
        <v>325</v>
      </c>
      <c r="B1" s="26"/>
      <c r="C1" s="26"/>
      <c r="D1" s="26"/>
      <c r="E1" s="26"/>
    </row>
    <row r="2" spans="1:5" ht="22.05" customHeight="1" x14ac:dyDescent="0.3">
      <c r="A2" s="1" t="s">
        <v>0</v>
      </c>
      <c r="B2" s="1" t="s">
        <v>1</v>
      </c>
      <c r="C2" s="1" t="s">
        <v>2</v>
      </c>
      <c r="D2" s="1" t="s">
        <v>347</v>
      </c>
      <c r="E2" s="1" t="s">
        <v>3</v>
      </c>
    </row>
    <row r="3" spans="1:5" ht="24" customHeight="1" x14ac:dyDescent="0.3">
      <c r="A3" s="34" t="s">
        <v>338</v>
      </c>
      <c r="B3" s="26"/>
      <c r="C3" s="26"/>
      <c r="D3" s="26"/>
      <c r="E3" s="26"/>
    </row>
    <row r="4" spans="1:5" ht="48" customHeight="1" x14ac:dyDescent="0.3">
      <c r="A4" s="2" t="s">
        <v>4</v>
      </c>
      <c r="B4" s="3" t="s">
        <v>5</v>
      </c>
      <c r="C4" s="3" t="s">
        <v>6</v>
      </c>
      <c r="D4" s="2">
        <v>4</v>
      </c>
      <c r="E4" s="4" t="s">
        <v>7</v>
      </c>
    </row>
    <row r="5" spans="1:5" ht="48" customHeight="1" x14ac:dyDescent="0.3">
      <c r="A5" s="2" t="s">
        <v>8</v>
      </c>
      <c r="B5" s="3" t="s">
        <v>264</v>
      </c>
      <c r="C5" s="3" t="s">
        <v>9</v>
      </c>
      <c r="D5" s="2">
        <v>6</v>
      </c>
      <c r="E5" s="4" t="s">
        <v>7</v>
      </c>
    </row>
    <row r="6" spans="1:5" ht="48" customHeight="1" x14ac:dyDescent="0.3">
      <c r="A6" s="2" t="s">
        <v>10</v>
      </c>
      <c r="B6" s="3" t="s">
        <v>265</v>
      </c>
      <c r="C6" s="3" t="s">
        <v>11</v>
      </c>
      <c r="D6" s="2">
        <v>4</v>
      </c>
      <c r="E6" s="4" t="s">
        <v>7</v>
      </c>
    </row>
    <row r="7" spans="1:5" ht="48" customHeight="1" x14ac:dyDescent="0.3">
      <c r="A7" s="2" t="s">
        <v>12</v>
      </c>
      <c r="B7" s="3" t="s">
        <v>266</v>
      </c>
      <c r="C7" s="3" t="s">
        <v>13</v>
      </c>
      <c r="D7" s="2">
        <v>4</v>
      </c>
      <c r="E7" s="4" t="s">
        <v>7</v>
      </c>
    </row>
    <row r="8" spans="1:5" ht="48" customHeight="1" x14ac:dyDescent="0.3">
      <c r="A8" s="2" t="s">
        <v>14</v>
      </c>
      <c r="B8" s="3" t="s">
        <v>267</v>
      </c>
      <c r="C8" s="3" t="s">
        <v>15</v>
      </c>
      <c r="D8" s="2">
        <v>4</v>
      </c>
      <c r="E8" s="4" t="s">
        <v>7</v>
      </c>
    </row>
    <row r="9" spans="1:5" ht="48" customHeight="1" x14ac:dyDescent="0.3">
      <c r="A9" s="2" t="s">
        <v>16</v>
      </c>
      <c r="B9" s="3" t="s">
        <v>17</v>
      </c>
      <c r="C9" s="3" t="s">
        <v>18</v>
      </c>
      <c r="D9" s="2">
        <v>4</v>
      </c>
      <c r="E9" s="4" t="s">
        <v>7</v>
      </c>
    </row>
    <row r="10" spans="1:5" ht="48" customHeight="1" x14ac:dyDescent="0.3">
      <c r="A10" s="2" t="s">
        <v>19</v>
      </c>
      <c r="B10" s="3" t="s">
        <v>20</v>
      </c>
      <c r="C10" s="3" t="s">
        <v>21</v>
      </c>
      <c r="D10" s="2">
        <v>4</v>
      </c>
      <c r="E10" s="4" t="s">
        <v>7</v>
      </c>
    </row>
    <row r="11" spans="1:5" ht="48" customHeight="1" x14ac:dyDescent="0.3">
      <c r="A11" s="2" t="s">
        <v>22</v>
      </c>
      <c r="B11" s="3" t="s">
        <v>23</v>
      </c>
      <c r="C11" s="3" t="s">
        <v>296</v>
      </c>
      <c r="D11" s="2">
        <v>8</v>
      </c>
      <c r="E11" s="5" t="s">
        <v>24</v>
      </c>
    </row>
    <row r="12" spans="1:5" ht="48" customHeight="1" x14ac:dyDescent="0.3">
      <c r="A12" s="2" t="s">
        <v>25</v>
      </c>
      <c r="B12" s="3" t="s">
        <v>26</v>
      </c>
      <c r="C12" s="3" t="s">
        <v>27</v>
      </c>
      <c r="D12" s="2">
        <v>4</v>
      </c>
      <c r="E12" s="5" t="s">
        <v>24</v>
      </c>
    </row>
    <row r="13" spans="1:5" ht="48" customHeight="1" x14ac:dyDescent="0.3">
      <c r="A13" s="2" t="s">
        <v>28</v>
      </c>
      <c r="B13" s="3" t="s">
        <v>29</v>
      </c>
      <c r="C13" s="3" t="s">
        <v>297</v>
      </c>
      <c r="D13" s="2">
        <v>6</v>
      </c>
      <c r="E13" s="5" t="s">
        <v>24</v>
      </c>
    </row>
    <row r="14" spans="1:5" ht="48" customHeight="1" x14ac:dyDescent="0.3">
      <c r="A14" s="2" t="s">
        <v>30</v>
      </c>
      <c r="B14" s="3" t="s">
        <v>31</v>
      </c>
      <c r="C14" s="3" t="s">
        <v>32</v>
      </c>
      <c r="D14" s="2">
        <v>4</v>
      </c>
      <c r="E14" s="6" t="s">
        <v>33</v>
      </c>
    </row>
    <row r="15" spans="1:5" ht="48" customHeight="1" x14ac:dyDescent="0.3">
      <c r="A15" s="2" t="s">
        <v>34</v>
      </c>
      <c r="B15" s="3" t="s">
        <v>35</v>
      </c>
      <c r="C15" s="3" t="s">
        <v>298</v>
      </c>
      <c r="D15" s="2">
        <v>4</v>
      </c>
      <c r="E15" s="6" t="s">
        <v>33</v>
      </c>
    </row>
    <row r="16" spans="1:5" ht="48" customHeight="1" x14ac:dyDescent="0.3">
      <c r="A16" s="2" t="s">
        <v>36</v>
      </c>
      <c r="B16" s="3" t="s">
        <v>37</v>
      </c>
      <c r="C16" s="3" t="s">
        <v>38</v>
      </c>
      <c r="D16" s="2">
        <v>2</v>
      </c>
      <c r="E16" s="16" t="s">
        <v>220</v>
      </c>
    </row>
    <row r="17" spans="1:5" ht="48" customHeight="1" x14ac:dyDescent="0.3">
      <c r="A17" s="2" t="s">
        <v>39</v>
      </c>
      <c r="B17" s="3" t="s">
        <v>40</v>
      </c>
      <c r="C17" s="3" t="s">
        <v>41</v>
      </c>
      <c r="D17" s="2">
        <v>6</v>
      </c>
      <c r="E17" s="16" t="s">
        <v>220</v>
      </c>
    </row>
    <row r="18" spans="1:5" ht="48" customHeight="1" x14ac:dyDescent="0.3">
      <c r="A18" s="2" t="s">
        <v>42</v>
      </c>
      <c r="B18" s="3" t="s">
        <v>43</v>
      </c>
      <c r="C18" s="3" t="s">
        <v>44</v>
      </c>
      <c r="D18" s="2">
        <v>6</v>
      </c>
      <c r="E18" s="11" t="s">
        <v>136</v>
      </c>
    </row>
    <row r="19" spans="1:5" ht="48" customHeight="1" x14ac:dyDescent="0.3">
      <c r="A19" s="2" t="s">
        <v>45</v>
      </c>
      <c r="B19" s="3" t="s">
        <v>46</v>
      </c>
      <c r="C19" s="3" t="s">
        <v>47</v>
      </c>
      <c r="D19" s="2">
        <v>4</v>
      </c>
      <c r="E19" s="6" t="s">
        <v>33</v>
      </c>
    </row>
    <row r="20" spans="1:5" ht="48" customHeight="1" x14ac:dyDescent="0.3">
      <c r="A20" s="2" t="s">
        <v>48</v>
      </c>
      <c r="B20" s="3" t="s">
        <v>49</v>
      </c>
      <c r="C20" s="3" t="s">
        <v>299</v>
      </c>
      <c r="D20" s="2">
        <v>8</v>
      </c>
      <c r="E20" s="7" t="s">
        <v>50</v>
      </c>
    </row>
    <row r="21" spans="1:5" ht="48" customHeight="1" x14ac:dyDescent="0.3">
      <c r="A21" s="2" t="s">
        <v>51</v>
      </c>
      <c r="B21" s="3" t="s">
        <v>52</v>
      </c>
      <c r="C21" s="3" t="s">
        <v>53</v>
      </c>
      <c r="D21" s="2">
        <v>6</v>
      </c>
      <c r="E21" s="7" t="s">
        <v>50</v>
      </c>
    </row>
    <row r="22" spans="1:5" ht="48" customHeight="1" x14ac:dyDescent="0.3">
      <c r="A22" s="2" t="s">
        <v>55</v>
      </c>
      <c r="B22" s="3" t="s">
        <v>56</v>
      </c>
      <c r="C22" s="3" t="s">
        <v>57</v>
      </c>
      <c r="D22" s="2">
        <v>8</v>
      </c>
      <c r="E22" s="8" t="s">
        <v>54</v>
      </c>
    </row>
    <row r="23" spans="1:5" ht="48" customHeight="1" x14ac:dyDescent="0.3">
      <c r="A23" s="2" t="s">
        <v>58</v>
      </c>
      <c r="B23" s="3" t="s">
        <v>59</v>
      </c>
      <c r="C23" s="3" t="s">
        <v>300</v>
      </c>
      <c r="D23" s="2">
        <v>6</v>
      </c>
      <c r="E23" s="8" t="s">
        <v>54</v>
      </c>
    </row>
    <row r="24" spans="1:5" ht="48" customHeight="1" x14ac:dyDescent="0.3">
      <c r="A24" s="2" t="s">
        <v>60</v>
      </c>
      <c r="B24" s="3" t="s">
        <v>61</v>
      </c>
      <c r="C24" s="3" t="s">
        <v>62</v>
      </c>
      <c r="D24" s="2">
        <v>6</v>
      </c>
      <c r="E24" s="5" t="s">
        <v>24</v>
      </c>
    </row>
    <row r="25" spans="1:5" ht="48" customHeight="1" x14ac:dyDescent="0.3">
      <c r="A25" s="2" t="s">
        <v>63</v>
      </c>
      <c r="B25" s="3" t="s">
        <v>268</v>
      </c>
      <c r="C25" s="3" t="s">
        <v>64</v>
      </c>
      <c r="D25" s="2">
        <v>6</v>
      </c>
      <c r="E25" s="5" t="s">
        <v>24</v>
      </c>
    </row>
    <row r="26" spans="1:5" ht="48" customHeight="1" x14ac:dyDescent="0.3">
      <c r="A26" s="2" t="s">
        <v>65</v>
      </c>
      <c r="B26" s="3" t="s">
        <v>269</v>
      </c>
      <c r="C26" s="3" t="s">
        <v>66</v>
      </c>
      <c r="D26" s="2">
        <v>4</v>
      </c>
      <c r="E26" s="6" t="s">
        <v>33</v>
      </c>
    </row>
    <row r="27" spans="1:5" ht="18" customHeight="1" x14ac:dyDescent="0.3">
      <c r="A27" s="33" t="s">
        <v>353</v>
      </c>
      <c r="B27" s="26"/>
      <c r="C27" s="26"/>
      <c r="D27" s="26"/>
      <c r="E27" s="26"/>
    </row>
    <row r="28" spans="1:5" ht="24" customHeight="1" x14ac:dyDescent="0.3">
      <c r="A28" s="27" t="s">
        <v>339</v>
      </c>
      <c r="B28" s="26"/>
      <c r="C28" s="26"/>
      <c r="D28" s="26"/>
      <c r="E28" s="26"/>
    </row>
    <row r="29" spans="1:5" ht="48" customHeight="1" x14ac:dyDescent="0.3">
      <c r="A29" s="9" t="s">
        <v>67</v>
      </c>
      <c r="B29" s="10" t="s">
        <v>68</v>
      </c>
      <c r="C29" s="10" t="s">
        <v>301</v>
      </c>
      <c r="D29" s="9">
        <v>8</v>
      </c>
      <c r="E29" s="7" t="s">
        <v>50</v>
      </c>
    </row>
    <row r="30" spans="1:5" ht="48" customHeight="1" x14ac:dyDescent="0.3">
      <c r="A30" s="9" t="s">
        <v>69</v>
      </c>
      <c r="B30" s="10" t="s">
        <v>70</v>
      </c>
      <c r="C30" s="10" t="s">
        <v>71</v>
      </c>
      <c r="D30" s="9">
        <v>10</v>
      </c>
      <c r="E30" s="7" t="s">
        <v>50</v>
      </c>
    </row>
    <row r="31" spans="1:5" ht="48" customHeight="1" x14ac:dyDescent="0.3">
      <c r="A31" s="9" t="s">
        <v>72</v>
      </c>
      <c r="B31" s="10" t="s">
        <v>73</v>
      </c>
      <c r="C31" s="10" t="s">
        <v>74</v>
      </c>
      <c r="D31" s="9">
        <v>10</v>
      </c>
      <c r="E31" s="8" t="s">
        <v>54</v>
      </c>
    </row>
    <row r="32" spans="1:5" ht="48" customHeight="1" x14ac:dyDescent="0.3">
      <c r="A32" s="9" t="s">
        <v>75</v>
      </c>
      <c r="B32" s="10" t="s">
        <v>76</v>
      </c>
      <c r="C32" s="10" t="s">
        <v>77</v>
      </c>
      <c r="D32" s="9">
        <v>4</v>
      </c>
      <c r="E32" s="6" t="s">
        <v>33</v>
      </c>
    </row>
    <row r="33" spans="1:5" ht="48" customHeight="1" x14ac:dyDescent="0.3">
      <c r="A33" s="9" t="s">
        <v>78</v>
      </c>
      <c r="B33" s="10" t="s">
        <v>79</v>
      </c>
      <c r="C33" s="10" t="s">
        <v>302</v>
      </c>
      <c r="D33" s="9">
        <v>4</v>
      </c>
      <c r="E33" s="11" t="s">
        <v>136</v>
      </c>
    </row>
    <row r="34" spans="1:5" ht="48" customHeight="1" x14ac:dyDescent="0.3">
      <c r="A34" s="9" t="s">
        <v>80</v>
      </c>
      <c r="B34" s="10" t="s">
        <v>81</v>
      </c>
      <c r="C34" s="10" t="s">
        <v>82</v>
      </c>
      <c r="D34" s="9">
        <v>8</v>
      </c>
      <c r="E34" s="5" t="s">
        <v>24</v>
      </c>
    </row>
    <row r="35" spans="1:5" ht="48" customHeight="1" x14ac:dyDescent="0.3">
      <c r="A35" s="9" t="s">
        <v>83</v>
      </c>
      <c r="B35" s="10" t="s">
        <v>84</v>
      </c>
      <c r="C35" s="10" t="s">
        <v>303</v>
      </c>
      <c r="D35" s="9">
        <v>8</v>
      </c>
      <c r="E35" s="5" t="s">
        <v>24</v>
      </c>
    </row>
    <row r="36" spans="1:5" ht="48" customHeight="1" x14ac:dyDescent="0.3">
      <c r="A36" s="9" t="s">
        <v>85</v>
      </c>
      <c r="B36" s="10" t="s">
        <v>86</v>
      </c>
      <c r="C36" s="10" t="s">
        <v>87</v>
      </c>
      <c r="D36" s="9">
        <v>10</v>
      </c>
      <c r="E36" s="7" t="s">
        <v>50</v>
      </c>
    </row>
    <row r="37" spans="1:5" ht="48" customHeight="1" x14ac:dyDescent="0.3">
      <c r="A37" s="9" t="s">
        <v>88</v>
      </c>
      <c r="B37" s="10" t="s">
        <v>89</v>
      </c>
      <c r="C37" s="10" t="s">
        <v>90</v>
      </c>
      <c r="D37" s="9">
        <v>8</v>
      </c>
      <c r="E37" s="5" t="s">
        <v>24</v>
      </c>
    </row>
    <row r="38" spans="1:5" ht="48" customHeight="1" x14ac:dyDescent="0.3">
      <c r="A38" s="9" t="s">
        <v>91</v>
      </c>
      <c r="B38" s="10" t="s">
        <v>92</v>
      </c>
      <c r="C38" s="10" t="s">
        <v>93</v>
      </c>
      <c r="D38" s="9">
        <v>8</v>
      </c>
      <c r="E38" s="8" t="s">
        <v>54</v>
      </c>
    </row>
    <row r="39" spans="1:5" ht="48" customHeight="1" x14ac:dyDescent="0.3">
      <c r="A39" s="9" t="s">
        <v>94</v>
      </c>
      <c r="B39" s="10" t="s">
        <v>95</v>
      </c>
      <c r="C39" s="10" t="s">
        <v>96</v>
      </c>
      <c r="D39" s="9">
        <v>8</v>
      </c>
      <c r="E39" s="8" t="s">
        <v>54</v>
      </c>
    </row>
    <row r="40" spans="1:5" ht="48" customHeight="1" x14ac:dyDescent="0.3">
      <c r="A40" s="9" t="s">
        <v>97</v>
      </c>
      <c r="B40" s="10" t="s">
        <v>98</v>
      </c>
      <c r="C40" s="10" t="s">
        <v>99</v>
      </c>
      <c r="D40" s="9">
        <v>4</v>
      </c>
      <c r="E40" s="6" t="s">
        <v>33</v>
      </c>
    </row>
    <row r="41" spans="1:5" ht="48" customHeight="1" x14ac:dyDescent="0.3">
      <c r="A41" s="9" t="s">
        <v>100</v>
      </c>
      <c r="B41" s="10" t="s">
        <v>101</v>
      </c>
      <c r="C41" s="10" t="s">
        <v>102</v>
      </c>
      <c r="D41" s="9">
        <v>4</v>
      </c>
      <c r="E41" s="6" t="s">
        <v>33</v>
      </c>
    </row>
    <row r="42" spans="1:5" ht="48" customHeight="1" x14ac:dyDescent="0.3">
      <c r="A42" s="9" t="s">
        <v>103</v>
      </c>
      <c r="B42" s="10" t="s">
        <v>104</v>
      </c>
      <c r="C42" s="10" t="s">
        <v>105</v>
      </c>
      <c r="D42" s="9">
        <v>8</v>
      </c>
      <c r="E42" s="7" t="s">
        <v>50</v>
      </c>
    </row>
    <row r="43" spans="1:5" ht="48" customHeight="1" x14ac:dyDescent="0.3">
      <c r="A43" s="9" t="s">
        <v>106</v>
      </c>
      <c r="B43" s="10" t="s">
        <v>107</v>
      </c>
      <c r="C43" s="10" t="s">
        <v>108</v>
      </c>
      <c r="D43" s="9">
        <v>8</v>
      </c>
      <c r="E43" s="8" t="s">
        <v>54</v>
      </c>
    </row>
    <row r="44" spans="1:5" ht="48" customHeight="1" x14ac:dyDescent="0.3">
      <c r="A44" s="9" t="s">
        <v>109</v>
      </c>
      <c r="B44" s="10" t="s">
        <v>110</v>
      </c>
      <c r="C44" s="10" t="s">
        <v>111</v>
      </c>
      <c r="D44" s="9">
        <v>10</v>
      </c>
      <c r="E44" s="7" t="s">
        <v>50</v>
      </c>
    </row>
    <row r="45" spans="1:5" ht="48" customHeight="1" x14ac:dyDescent="0.3">
      <c r="A45" s="9" t="s">
        <v>112</v>
      </c>
      <c r="B45" s="10" t="s">
        <v>113</v>
      </c>
      <c r="C45" s="10" t="s">
        <v>114</v>
      </c>
      <c r="D45" s="9">
        <v>8</v>
      </c>
      <c r="E45" s="8" t="s">
        <v>54</v>
      </c>
    </row>
    <row r="46" spans="1:5" ht="48" customHeight="1" x14ac:dyDescent="0.3">
      <c r="A46" s="9" t="s">
        <v>115</v>
      </c>
      <c r="B46" s="10" t="s">
        <v>116</v>
      </c>
      <c r="C46" s="10" t="s">
        <v>117</v>
      </c>
      <c r="D46" s="9">
        <v>8</v>
      </c>
      <c r="E46" s="8" t="s">
        <v>54</v>
      </c>
    </row>
    <row r="47" spans="1:5" ht="48" customHeight="1" x14ac:dyDescent="0.3">
      <c r="A47" s="9" t="s">
        <v>118</v>
      </c>
      <c r="B47" s="10" t="s">
        <v>119</v>
      </c>
      <c r="C47" s="10" t="s">
        <v>120</v>
      </c>
      <c r="D47" s="9">
        <v>8</v>
      </c>
      <c r="E47" s="5" t="s">
        <v>24</v>
      </c>
    </row>
    <row r="48" spans="1:5" ht="48" customHeight="1" x14ac:dyDescent="0.3">
      <c r="A48" s="9" t="s">
        <v>121</v>
      </c>
      <c r="B48" s="10" t="s">
        <v>122</v>
      </c>
      <c r="C48" s="10" t="s">
        <v>123</v>
      </c>
      <c r="D48" s="9">
        <v>6</v>
      </c>
      <c r="E48" s="6" t="s">
        <v>33</v>
      </c>
    </row>
    <row r="49" spans="1:5" ht="48" customHeight="1" x14ac:dyDescent="0.3">
      <c r="A49" s="9" t="s">
        <v>124</v>
      </c>
      <c r="B49" s="10" t="s">
        <v>125</v>
      </c>
      <c r="C49" s="10" t="s">
        <v>304</v>
      </c>
      <c r="D49" s="9">
        <v>6</v>
      </c>
      <c r="E49" s="6" t="s">
        <v>33</v>
      </c>
    </row>
    <row r="50" spans="1:5" ht="48" customHeight="1" x14ac:dyDescent="0.3">
      <c r="A50" s="9" t="s">
        <v>126</v>
      </c>
      <c r="B50" s="10" t="s">
        <v>127</v>
      </c>
      <c r="C50" s="10" t="s">
        <v>128</v>
      </c>
      <c r="D50" s="9">
        <v>4</v>
      </c>
      <c r="E50" s="7" t="s">
        <v>50</v>
      </c>
    </row>
    <row r="51" spans="1:5" ht="48" customHeight="1" x14ac:dyDescent="0.3">
      <c r="A51" s="9" t="s">
        <v>129</v>
      </c>
      <c r="B51" s="10" t="s">
        <v>130</v>
      </c>
      <c r="C51" s="10" t="s">
        <v>131</v>
      </c>
      <c r="D51" s="9">
        <v>8</v>
      </c>
      <c r="E51" s="6" t="s">
        <v>33</v>
      </c>
    </row>
    <row r="52" spans="1:5" ht="48" customHeight="1" x14ac:dyDescent="0.3">
      <c r="A52" s="9" t="s">
        <v>132</v>
      </c>
      <c r="B52" s="10" t="s">
        <v>133</v>
      </c>
      <c r="C52" s="10" t="s">
        <v>134</v>
      </c>
      <c r="D52" s="9">
        <v>8</v>
      </c>
      <c r="E52" s="11" t="s">
        <v>136</v>
      </c>
    </row>
    <row r="53" spans="1:5" ht="48" customHeight="1" x14ac:dyDescent="0.3">
      <c r="A53" s="9" t="s">
        <v>135</v>
      </c>
      <c r="B53" s="10" t="s">
        <v>270</v>
      </c>
      <c r="C53" s="10" t="s">
        <v>305</v>
      </c>
      <c r="D53" s="9">
        <v>2</v>
      </c>
      <c r="E53" s="5" t="s">
        <v>24</v>
      </c>
    </row>
    <row r="54" spans="1:5" ht="48" customHeight="1" x14ac:dyDescent="0.3">
      <c r="A54" s="9" t="s">
        <v>137</v>
      </c>
      <c r="B54" s="10" t="s">
        <v>271</v>
      </c>
      <c r="C54" s="10" t="s">
        <v>138</v>
      </c>
      <c r="D54" s="9">
        <v>2</v>
      </c>
      <c r="E54" s="5" t="s">
        <v>24</v>
      </c>
    </row>
    <row r="55" spans="1:5" ht="48" customHeight="1" x14ac:dyDescent="0.3">
      <c r="A55" s="9" t="s">
        <v>139</v>
      </c>
      <c r="B55" s="10" t="s">
        <v>272</v>
      </c>
      <c r="C55" s="10" t="s">
        <v>140</v>
      </c>
      <c r="D55" s="9">
        <v>2</v>
      </c>
      <c r="E55" s="5" t="s">
        <v>24</v>
      </c>
    </row>
    <row r="56" spans="1:5" ht="48" customHeight="1" x14ac:dyDescent="0.3">
      <c r="A56" s="9" t="s">
        <v>141</v>
      </c>
      <c r="B56" s="10" t="s">
        <v>273</v>
      </c>
      <c r="C56" s="10" t="s">
        <v>306</v>
      </c>
      <c r="D56" s="9">
        <v>6</v>
      </c>
      <c r="E56" s="6" t="s">
        <v>33</v>
      </c>
    </row>
    <row r="57" spans="1:5" ht="48" customHeight="1" x14ac:dyDescent="0.3">
      <c r="A57" s="9" t="s">
        <v>142</v>
      </c>
      <c r="B57" s="10" t="s">
        <v>274</v>
      </c>
      <c r="C57" s="10" t="s">
        <v>307</v>
      </c>
      <c r="D57" s="9">
        <v>6</v>
      </c>
      <c r="E57" s="5" t="s">
        <v>24</v>
      </c>
    </row>
    <row r="58" spans="1:5" ht="48" customHeight="1" x14ac:dyDescent="0.3">
      <c r="A58" s="9" t="s">
        <v>143</v>
      </c>
      <c r="B58" s="10" t="s">
        <v>275</v>
      </c>
      <c r="C58" s="10" t="s">
        <v>144</v>
      </c>
      <c r="D58" s="9">
        <v>4</v>
      </c>
      <c r="E58" s="5" t="s">
        <v>24</v>
      </c>
    </row>
    <row r="59" spans="1:5" ht="18" customHeight="1" x14ac:dyDescent="0.3">
      <c r="A59" s="25" t="s">
        <v>352</v>
      </c>
      <c r="B59" s="26"/>
      <c r="C59" s="26"/>
      <c r="D59" s="26"/>
      <c r="E59" s="26"/>
    </row>
    <row r="60" spans="1:5" ht="24" customHeight="1" x14ac:dyDescent="0.3">
      <c r="A60" s="28" t="s">
        <v>340</v>
      </c>
      <c r="B60" s="26"/>
      <c r="C60" s="26"/>
      <c r="D60" s="26"/>
      <c r="E60" s="26"/>
    </row>
    <row r="61" spans="1:5" ht="48" customHeight="1" x14ac:dyDescent="0.3">
      <c r="A61" s="12" t="s">
        <v>145</v>
      </c>
      <c r="B61" s="13" t="s">
        <v>276</v>
      </c>
      <c r="C61" s="13" t="s">
        <v>308</v>
      </c>
      <c r="D61" s="12">
        <v>6</v>
      </c>
      <c r="E61" s="7" t="s">
        <v>50</v>
      </c>
    </row>
    <row r="62" spans="1:5" ht="48" customHeight="1" x14ac:dyDescent="0.3">
      <c r="A62" s="12" t="s">
        <v>146</v>
      </c>
      <c r="B62" s="13" t="s">
        <v>147</v>
      </c>
      <c r="C62" s="13" t="s">
        <v>309</v>
      </c>
      <c r="D62" s="12">
        <v>6</v>
      </c>
      <c r="E62" s="7" t="s">
        <v>50</v>
      </c>
    </row>
    <row r="63" spans="1:5" ht="48" customHeight="1" x14ac:dyDescent="0.3">
      <c r="A63" s="12" t="s">
        <v>148</v>
      </c>
      <c r="B63" s="13" t="s">
        <v>149</v>
      </c>
      <c r="C63" s="13" t="s">
        <v>150</v>
      </c>
      <c r="D63" s="12">
        <v>8</v>
      </c>
      <c r="E63" s="8" t="s">
        <v>54</v>
      </c>
    </row>
    <row r="64" spans="1:5" ht="48" customHeight="1" x14ac:dyDescent="0.3">
      <c r="A64" s="12" t="s">
        <v>151</v>
      </c>
      <c r="B64" s="13" t="s">
        <v>152</v>
      </c>
      <c r="C64" s="13" t="s">
        <v>153</v>
      </c>
      <c r="D64" s="12">
        <v>8</v>
      </c>
      <c r="E64" s="8" t="s">
        <v>54</v>
      </c>
    </row>
    <row r="65" spans="1:5" ht="48" customHeight="1" x14ac:dyDescent="0.3">
      <c r="A65" s="12" t="s">
        <v>154</v>
      </c>
      <c r="B65" s="13" t="s">
        <v>155</v>
      </c>
      <c r="C65" s="13" t="s">
        <v>156</v>
      </c>
      <c r="D65" s="12">
        <v>6</v>
      </c>
      <c r="E65" s="7" t="s">
        <v>50</v>
      </c>
    </row>
    <row r="66" spans="1:5" ht="48" customHeight="1" x14ac:dyDescent="0.3">
      <c r="A66" s="12" t="s">
        <v>157</v>
      </c>
      <c r="B66" s="13" t="s">
        <v>277</v>
      </c>
      <c r="C66" s="13" t="s">
        <v>310</v>
      </c>
      <c r="D66" s="12">
        <v>8</v>
      </c>
      <c r="E66" s="8" t="s">
        <v>54</v>
      </c>
    </row>
    <row r="67" spans="1:5" ht="48" customHeight="1" x14ac:dyDescent="0.3">
      <c r="A67" s="12" t="s">
        <v>158</v>
      </c>
      <c r="B67" s="13" t="s">
        <v>159</v>
      </c>
      <c r="C67" s="13" t="s">
        <v>160</v>
      </c>
      <c r="D67" s="12">
        <v>8</v>
      </c>
      <c r="E67" s="7" t="s">
        <v>50</v>
      </c>
    </row>
    <row r="68" spans="1:5" ht="48" customHeight="1" x14ac:dyDescent="0.3">
      <c r="A68" s="12" t="s">
        <v>161</v>
      </c>
      <c r="B68" s="13" t="s">
        <v>162</v>
      </c>
      <c r="C68" s="13" t="s">
        <v>163</v>
      </c>
      <c r="D68" s="12">
        <v>6</v>
      </c>
      <c r="E68" s="8" t="s">
        <v>54</v>
      </c>
    </row>
    <row r="69" spans="1:5" ht="48" customHeight="1" x14ac:dyDescent="0.3">
      <c r="A69" s="12" t="s">
        <v>164</v>
      </c>
      <c r="B69" s="13" t="s">
        <v>165</v>
      </c>
      <c r="C69" s="13" t="s">
        <v>166</v>
      </c>
      <c r="D69" s="12">
        <v>6</v>
      </c>
      <c r="E69" s="7" t="s">
        <v>50</v>
      </c>
    </row>
    <row r="70" spans="1:5" ht="48" customHeight="1" x14ac:dyDescent="0.3">
      <c r="A70" s="12" t="s">
        <v>167</v>
      </c>
      <c r="B70" s="13" t="s">
        <v>168</v>
      </c>
      <c r="C70" s="13" t="s">
        <v>169</v>
      </c>
      <c r="D70" s="12">
        <v>6</v>
      </c>
      <c r="E70" s="6" t="s">
        <v>33</v>
      </c>
    </row>
    <row r="71" spans="1:5" ht="48" customHeight="1" x14ac:dyDescent="0.3">
      <c r="A71" s="12" t="s">
        <v>170</v>
      </c>
      <c r="B71" s="13" t="s">
        <v>171</v>
      </c>
      <c r="C71" s="13" t="s">
        <v>311</v>
      </c>
      <c r="D71" s="12">
        <v>6</v>
      </c>
      <c r="E71" s="6" t="s">
        <v>33</v>
      </c>
    </row>
    <row r="72" spans="1:5" ht="48" customHeight="1" x14ac:dyDescent="0.3">
      <c r="A72" s="12" t="s">
        <v>172</v>
      </c>
      <c r="B72" s="13" t="s">
        <v>173</v>
      </c>
      <c r="C72" s="13" t="s">
        <v>174</v>
      </c>
      <c r="D72" s="12">
        <v>8</v>
      </c>
      <c r="E72" s="8" t="s">
        <v>54</v>
      </c>
    </row>
    <row r="73" spans="1:5" ht="48" customHeight="1" x14ac:dyDescent="0.3">
      <c r="A73" s="12" t="s">
        <v>175</v>
      </c>
      <c r="B73" s="13" t="s">
        <v>176</v>
      </c>
      <c r="C73" s="13" t="s">
        <v>177</v>
      </c>
      <c r="D73" s="12">
        <v>10</v>
      </c>
      <c r="E73" s="5" t="s">
        <v>24</v>
      </c>
    </row>
    <row r="74" spans="1:5" ht="48" customHeight="1" x14ac:dyDescent="0.3">
      <c r="A74" s="12" t="s">
        <v>178</v>
      </c>
      <c r="B74" s="13" t="s">
        <v>179</v>
      </c>
      <c r="C74" s="13" t="s">
        <v>312</v>
      </c>
      <c r="D74" s="12">
        <v>8</v>
      </c>
      <c r="E74" s="7" t="s">
        <v>50</v>
      </c>
    </row>
    <row r="75" spans="1:5" ht="48" customHeight="1" x14ac:dyDescent="0.3">
      <c r="A75" s="12" t="s">
        <v>180</v>
      </c>
      <c r="B75" s="13" t="s">
        <v>181</v>
      </c>
      <c r="C75" s="13" t="s">
        <v>182</v>
      </c>
      <c r="D75" s="12">
        <v>6</v>
      </c>
      <c r="E75" s="8" t="s">
        <v>54</v>
      </c>
    </row>
    <row r="76" spans="1:5" ht="48" customHeight="1" x14ac:dyDescent="0.3">
      <c r="A76" s="12" t="s">
        <v>183</v>
      </c>
      <c r="B76" s="13" t="s">
        <v>184</v>
      </c>
      <c r="C76" s="13" t="s">
        <v>185</v>
      </c>
      <c r="D76" s="12">
        <v>10</v>
      </c>
      <c r="E76" s="6" t="s">
        <v>33</v>
      </c>
    </row>
    <row r="77" spans="1:5" ht="48" customHeight="1" x14ac:dyDescent="0.3">
      <c r="A77" s="12" t="s">
        <v>186</v>
      </c>
      <c r="B77" s="13" t="s">
        <v>187</v>
      </c>
      <c r="C77" s="13" t="s">
        <v>313</v>
      </c>
      <c r="D77" s="12">
        <v>8</v>
      </c>
      <c r="E77" s="6" t="s">
        <v>33</v>
      </c>
    </row>
    <row r="78" spans="1:5" ht="48" customHeight="1" x14ac:dyDescent="0.3">
      <c r="A78" s="12" t="s">
        <v>188</v>
      </c>
      <c r="B78" s="13" t="s">
        <v>189</v>
      </c>
      <c r="C78" s="13" t="s">
        <v>190</v>
      </c>
      <c r="D78" s="12">
        <v>6</v>
      </c>
      <c r="E78" s="8" t="s">
        <v>54</v>
      </c>
    </row>
    <row r="79" spans="1:5" ht="48" customHeight="1" x14ac:dyDescent="0.3">
      <c r="A79" s="12" t="s">
        <v>191</v>
      </c>
      <c r="B79" s="13" t="s">
        <v>192</v>
      </c>
      <c r="C79" s="13" t="s">
        <v>193</v>
      </c>
      <c r="D79" s="12">
        <v>8</v>
      </c>
      <c r="E79" s="5" t="s">
        <v>24</v>
      </c>
    </row>
    <row r="80" spans="1:5" ht="48" customHeight="1" x14ac:dyDescent="0.3">
      <c r="A80" s="12" t="s">
        <v>194</v>
      </c>
      <c r="B80" s="13" t="s">
        <v>195</v>
      </c>
      <c r="C80" s="13" t="s">
        <v>196</v>
      </c>
      <c r="D80" s="12">
        <v>10</v>
      </c>
      <c r="E80" s="7" t="s">
        <v>50</v>
      </c>
    </row>
    <row r="81" spans="1:5" ht="48" customHeight="1" x14ac:dyDescent="0.3">
      <c r="A81" s="12" t="s">
        <v>197</v>
      </c>
      <c r="B81" s="13" t="s">
        <v>198</v>
      </c>
      <c r="C81" s="13" t="s">
        <v>199</v>
      </c>
      <c r="D81" s="12">
        <v>6</v>
      </c>
      <c r="E81" s="5" t="s">
        <v>24</v>
      </c>
    </row>
    <row r="82" spans="1:5" ht="48" customHeight="1" x14ac:dyDescent="0.3">
      <c r="A82" s="12" t="s">
        <v>200</v>
      </c>
      <c r="B82" s="13" t="s">
        <v>278</v>
      </c>
      <c r="C82" s="13" t="s">
        <v>201</v>
      </c>
      <c r="D82" s="12">
        <v>6</v>
      </c>
      <c r="E82" s="5" t="s">
        <v>24</v>
      </c>
    </row>
    <row r="83" spans="1:5" ht="48" customHeight="1" x14ac:dyDescent="0.3">
      <c r="A83" s="12" t="s">
        <v>202</v>
      </c>
      <c r="B83" s="13" t="s">
        <v>279</v>
      </c>
      <c r="C83" s="13" t="s">
        <v>203</v>
      </c>
      <c r="D83" s="12">
        <v>6</v>
      </c>
      <c r="E83" s="5" t="s">
        <v>24</v>
      </c>
    </row>
    <row r="84" spans="1:5" ht="48" customHeight="1" x14ac:dyDescent="0.3">
      <c r="A84" s="12" t="s">
        <v>204</v>
      </c>
      <c r="B84" s="13" t="s">
        <v>280</v>
      </c>
      <c r="C84" s="13" t="s">
        <v>205</v>
      </c>
      <c r="D84" s="12">
        <v>6</v>
      </c>
      <c r="E84" s="5" t="s">
        <v>24</v>
      </c>
    </row>
    <row r="85" spans="1:5" ht="48" customHeight="1" x14ac:dyDescent="0.3">
      <c r="A85" s="12" t="s">
        <v>206</v>
      </c>
      <c r="B85" s="13" t="s">
        <v>281</v>
      </c>
      <c r="C85" s="13" t="s">
        <v>314</v>
      </c>
      <c r="D85" s="12">
        <v>6</v>
      </c>
      <c r="E85" s="6" t="s">
        <v>33</v>
      </c>
    </row>
    <row r="86" spans="1:5" ht="48" customHeight="1" x14ac:dyDescent="0.3">
      <c r="A86" s="12" t="s">
        <v>207</v>
      </c>
      <c r="B86" s="13" t="s">
        <v>282</v>
      </c>
      <c r="C86" s="13" t="s">
        <v>208</v>
      </c>
      <c r="D86" s="12">
        <v>4</v>
      </c>
      <c r="E86" s="5" t="s">
        <v>24</v>
      </c>
    </row>
    <row r="87" spans="1:5" ht="48" customHeight="1" x14ac:dyDescent="0.3">
      <c r="A87" s="12" t="s">
        <v>209</v>
      </c>
      <c r="B87" s="13" t="s">
        <v>283</v>
      </c>
      <c r="C87" s="13" t="s">
        <v>210</v>
      </c>
      <c r="D87" s="12">
        <v>4</v>
      </c>
      <c r="E87" s="5" t="s">
        <v>24</v>
      </c>
    </row>
    <row r="88" spans="1:5" ht="18" customHeight="1" x14ac:dyDescent="0.3">
      <c r="A88" s="32" t="s">
        <v>357</v>
      </c>
      <c r="B88" s="26"/>
      <c r="C88" s="26"/>
      <c r="D88" s="26"/>
      <c r="E88" s="26"/>
    </row>
    <row r="89" spans="1:5" ht="24" customHeight="1" x14ac:dyDescent="0.3">
      <c r="A89" s="31" t="s">
        <v>341</v>
      </c>
      <c r="B89" s="26"/>
      <c r="C89" s="26"/>
      <c r="D89" s="26"/>
      <c r="E89" s="26"/>
    </row>
    <row r="90" spans="1:5" ht="48" customHeight="1" x14ac:dyDescent="0.3">
      <c r="A90" s="14" t="s">
        <v>211</v>
      </c>
      <c r="B90" s="15" t="s">
        <v>284</v>
      </c>
      <c r="C90" s="15" t="s">
        <v>212</v>
      </c>
      <c r="D90" s="14">
        <v>8</v>
      </c>
      <c r="E90" s="11" t="s">
        <v>136</v>
      </c>
    </row>
    <row r="91" spans="1:5" ht="48" customHeight="1" x14ac:dyDescent="0.3">
      <c r="A91" s="14" t="s">
        <v>213</v>
      </c>
      <c r="B91" s="15" t="s">
        <v>285</v>
      </c>
      <c r="C91" s="15" t="s">
        <v>214</v>
      </c>
      <c r="D91" s="14">
        <v>8</v>
      </c>
      <c r="E91" s="11" t="s">
        <v>136</v>
      </c>
    </row>
    <row r="92" spans="1:5" ht="48" customHeight="1" x14ac:dyDescent="0.3">
      <c r="A92" s="14" t="s">
        <v>215</v>
      </c>
      <c r="B92" s="15" t="s">
        <v>216</v>
      </c>
      <c r="C92" s="15" t="s">
        <v>217</v>
      </c>
      <c r="D92" s="14">
        <v>10</v>
      </c>
      <c r="E92" s="5" t="s">
        <v>24</v>
      </c>
    </row>
    <row r="93" spans="1:5" ht="48" customHeight="1" x14ac:dyDescent="0.3">
      <c r="A93" s="14" t="s">
        <v>218</v>
      </c>
      <c r="B93" s="15" t="s">
        <v>286</v>
      </c>
      <c r="C93" s="15" t="s">
        <v>219</v>
      </c>
      <c r="D93" s="14">
        <v>6</v>
      </c>
      <c r="E93" s="16" t="s">
        <v>220</v>
      </c>
    </row>
    <row r="94" spans="1:5" ht="48" customHeight="1" x14ac:dyDescent="0.3">
      <c r="A94" s="14" t="s">
        <v>221</v>
      </c>
      <c r="B94" s="15" t="s">
        <v>287</v>
      </c>
      <c r="C94" s="15" t="s">
        <v>222</v>
      </c>
      <c r="D94" s="14">
        <v>6</v>
      </c>
      <c r="E94" s="16" t="s">
        <v>220</v>
      </c>
    </row>
    <row r="95" spans="1:5" ht="48" customHeight="1" x14ac:dyDescent="0.3">
      <c r="A95" s="14" t="s">
        <v>223</v>
      </c>
      <c r="B95" s="15" t="s">
        <v>288</v>
      </c>
      <c r="C95" s="15" t="s">
        <v>315</v>
      </c>
      <c r="D95" s="14">
        <v>6</v>
      </c>
      <c r="E95" s="16" t="s">
        <v>220</v>
      </c>
    </row>
    <row r="96" spans="1:5" ht="48" customHeight="1" x14ac:dyDescent="0.3">
      <c r="A96" s="14" t="s">
        <v>224</v>
      </c>
      <c r="B96" s="15" t="s">
        <v>225</v>
      </c>
      <c r="C96" s="15" t="s">
        <v>226</v>
      </c>
      <c r="D96" s="14">
        <v>8</v>
      </c>
      <c r="E96" s="6" t="s">
        <v>33</v>
      </c>
    </row>
    <row r="97" spans="1:5" ht="48" customHeight="1" x14ac:dyDescent="0.3">
      <c r="A97" s="14" t="s">
        <v>227</v>
      </c>
      <c r="B97" s="15" t="s">
        <v>228</v>
      </c>
      <c r="C97" s="15" t="s">
        <v>316</v>
      </c>
      <c r="D97" s="14">
        <v>8</v>
      </c>
      <c r="E97" s="11" t="s">
        <v>136</v>
      </c>
    </row>
    <row r="98" spans="1:5" ht="48" customHeight="1" x14ac:dyDescent="0.3">
      <c r="A98" s="14" t="s">
        <v>229</v>
      </c>
      <c r="B98" s="15" t="s">
        <v>230</v>
      </c>
      <c r="C98" s="15" t="s">
        <v>317</v>
      </c>
      <c r="D98" s="14">
        <v>6</v>
      </c>
      <c r="E98" s="16" t="s">
        <v>220</v>
      </c>
    </row>
    <row r="99" spans="1:5" ht="48" customHeight="1" x14ac:dyDescent="0.3">
      <c r="A99" s="14" t="s">
        <v>231</v>
      </c>
      <c r="B99" s="15" t="s">
        <v>289</v>
      </c>
      <c r="C99" s="15" t="s">
        <v>318</v>
      </c>
      <c r="D99" s="14">
        <v>4</v>
      </c>
      <c r="E99" s="11" t="s">
        <v>136</v>
      </c>
    </row>
    <row r="100" spans="1:5" ht="48" customHeight="1" x14ac:dyDescent="0.3">
      <c r="A100" s="14" t="s">
        <v>232</v>
      </c>
      <c r="B100" s="15" t="s">
        <v>290</v>
      </c>
      <c r="C100" s="15" t="s">
        <v>233</v>
      </c>
      <c r="D100" s="14">
        <v>4</v>
      </c>
      <c r="E100" s="11" t="s">
        <v>136</v>
      </c>
    </row>
    <row r="101" spans="1:5" ht="48" customHeight="1" x14ac:dyDescent="0.3">
      <c r="A101" s="14" t="s">
        <v>234</v>
      </c>
      <c r="B101" s="15" t="s">
        <v>235</v>
      </c>
      <c r="C101" s="15" t="s">
        <v>319</v>
      </c>
      <c r="D101" s="14">
        <v>4</v>
      </c>
      <c r="E101" s="16" t="s">
        <v>220</v>
      </c>
    </row>
    <row r="102" spans="1:5" ht="48" customHeight="1" x14ac:dyDescent="0.3">
      <c r="A102" s="14" t="s">
        <v>236</v>
      </c>
      <c r="B102" s="15" t="s">
        <v>237</v>
      </c>
      <c r="C102" s="15" t="s">
        <v>320</v>
      </c>
      <c r="D102" s="14">
        <v>10</v>
      </c>
      <c r="E102" s="4" t="s">
        <v>7</v>
      </c>
    </row>
    <row r="103" spans="1:5" ht="48" customHeight="1" x14ac:dyDescent="0.3">
      <c r="A103" s="14" t="s">
        <v>238</v>
      </c>
      <c r="B103" s="15" t="s">
        <v>239</v>
      </c>
      <c r="C103" s="15" t="s">
        <v>321</v>
      </c>
      <c r="D103" s="14">
        <v>4</v>
      </c>
      <c r="E103" s="4" t="s">
        <v>7</v>
      </c>
    </row>
    <row r="104" spans="1:5" ht="48" customHeight="1" x14ac:dyDescent="0.3">
      <c r="A104" s="14" t="s">
        <v>240</v>
      </c>
      <c r="B104" s="15" t="s">
        <v>241</v>
      </c>
      <c r="C104" s="15" t="s">
        <v>242</v>
      </c>
      <c r="D104" s="14">
        <v>4</v>
      </c>
      <c r="E104" s="11" t="s">
        <v>136</v>
      </c>
    </row>
    <row r="105" spans="1:5" ht="48" customHeight="1" x14ac:dyDescent="0.3">
      <c r="A105" s="14" t="s">
        <v>243</v>
      </c>
      <c r="B105" s="15" t="s">
        <v>291</v>
      </c>
      <c r="C105" s="15" t="s">
        <v>244</v>
      </c>
      <c r="D105" s="14">
        <v>4</v>
      </c>
      <c r="E105" s="16" t="s">
        <v>220</v>
      </c>
    </row>
    <row r="106" spans="1:5" ht="48" customHeight="1" x14ac:dyDescent="0.3">
      <c r="A106" s="14" t="s">
        <v>245</v>
      </c>
      <c r="B106" s="15" t="s">
        <v>292</v>
      </c>
      <c r="C106" s="15" t="s">
        <v>322</v>
      </c>
      <c r="D106" s="14">
        <v>6</v>
      </c>
      <c r="E106" s="5" t="s">
        <v>24</v>
      </c>
    </row>
    <row r="107" spans="1:5" ht="48" customHeight="1" x14ac:dyDescent="0.3">
      <c r="A107" s="14" t="s">
        <v>246</v>
      </c>
      <c r="B107" s="15" t="s">
        <v>293</v>
      </c>
      <c r="C107" s="15" t="s">
        <v>323</v>
      </c>
      <c r="D107" s="14">
        <v>8</v>
      </c>
      <c r="E107" s="16" t="s">
        <v>220</v>
      </c>
    </row>
    <row r="108" spans="1:5" ht="48" customHeight="1" x14ac:dyDescent="0.3">
      <c r="A108" s="14" t="s">
        <v>247</v>
      </c>
      <c r="B108" s="15" t="s">
        <v>294</v>
      </c>
      <c r="C108" s="15" t="s">
        <v>324</v>
      </c>
      <c r="D108" s="14">
        <v>4</v>
      </c>
      <c r="E108" s="11" t="s">
        <v>136</v>
      </c>
    </row>
    <row r="109" spans="1:5" ht="48" customHeight="1" x14ac:dyDescent="0.3">
      <c r="A109" s="14" t="s">
        <v>248</v>
      </c>
      <c r="B109" s="15" t="s">
        <v>295</v>
      </c>
      <c r="C109" s="15" t="s">
        <v>249</v>
      </c>
      <c r="D109" s="14">
        <v>8</v>
      </c>
      <c r="E109" s="4" t="s">
        <v>7</v>
      </c>
    </row>
    <row r="110" spans="1:5" ht="48" customHeight="1" x14ac:dyDescent="0.3">
      <c r="A110" s="14" t="s">
        <v>250</v>
      </c>
      <c r="B110" s="15" t="s">
        <v>251</v>
      </c>
      <c r="C110" s="15" t="s">
        <v>252</v>
      </c>
      <c r="D110" s="14">
        <v>6</v>
      </c>
      <c r="E110" s="4" t="s">
        <v>7</v>
      </c>
    </row>
    <row r="111" spans="1:5" ht="18" customHeight="1" x14ac:dyDescent="0.3">
      <c r="A111" s="30" t="s">
        <v>354</v>
      </c>
      <c r="B111" s="26"/>
      <c r="C111" s="26"/>
      <c r="D111" s="26"/>
      <c r="E111" s="26"/>
    </row>
  </sheetData>
  <mergeCells count="9">
    <mergeCell ref="A59:E59"/>
    <mergeCell ref="A28:E28"/>
    <mergeCell ref="A60:E60"/>
    <mergeCell ref="A1:E1"/>
    <mergeCell ref="A111:E111"/>
    <mergeCell ref="A89:E89"/>
    <mergeCell ref="A88:E88"/>
    <mergeCell ref="A27:E27"/>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zoomScale="85" zoomScaleNormal="85" workbookViewId="0">
      <selection activeCell="K20" sqref="K20"/>
    </sheetView>
  </sheetViews>
  <sheetFormatPr defaultRowHeight="14.4" x14ac:dyDescent="0.3"/>
  <cols>
    <col min="1" max="1" width="32" customWidth="1"/>
    <col min="2" max="2" width="48" customWidth="1"/>
    <col min="3" max="9" width="18" customWidth="1"/>
  </cols>
  <sheetData>
    <row r="1" spans="1:9" ht="28.05" customHeight="1" x14ac:dyDescent="0.3">
      <c r="A1" s="35" t="s">
        <v>253</v>
      </c>
      <c r="B1" s="26"/>
      <c r="C1" s="26"/>
      <c r="D1" s="26"/>
      <c r="E1" s="26"/>
      <c r="F1" s="26"/>
      <c r="G1" s="26"/>
      <c r="H1" s="26"/>
      <c r="I1" s="26"/>
    </row>
    <row r="3" spans="1:9" x14ac:dyDescent="0.3">
      <c r="A3" s="37" t="s">
        <v>254</v>
      </c>
      <c r="B3" s="26"/>
    </row>
    <row r="4" spans="1:9" ht="19.95" customHeight="1" x14ac:dyDescent="0.3">
      <c r="A4" s="38" t="s">
        <v>255</v>
      </c>
      <c r="B4" s="39"/>
    </row>
    <row r="5" spans="1:9" ht="19.95" customHeight="1" x14ac:dyDescent="0.3">
      <c r="A5" s="40" t="s">
        <v>256</v>
      </c>
      <c r="B5" s="41"/>
    </row>
    <row r="6" spans="1:9" ht="19.95" customHeight="1" x14ac:dyDescent="0.3">
      <c r="A6" s="42" t="s">
        <v>257</v>
      </c>
      <c r="B6" s="43"/>
    </row>
    <row r="7" spans="1:9" ht="19.95" customHeight="1" x14ac:dyDescent="0.3">
      <c r="A7" s="44" t="s">
        <v>258</v>
      </c>
      <c r="B7" s="45"/>
    </row>
    <row r="8" spans="1:9" ht="19.95" customHeight="1" x14ac:dyDescent="0.3">
      <c r="A8" s="46" t="s">
        <v>328</v>
      </c>
      <c r="B8" s="47"/>
    </row>
    <row r="9" spans="1:9" ht="19.95" customHeight="1" x14ac:dyDescent="0.3">
      <c r="A9" s="48" t="s">
        <v>327</v>
      </c>
      <c r="B9" s="49"/>
    </row>
    <row r="10" spans="1:9" ht="19.95" customHeight="1" x14ac:dyDescent="0.3">
      <c r="A10" s="50" t="s">
        <v>326</v>
      </c>
      <c r="B10" s="51"/>
    </row>
    <row r="11" spans="1:9" ht="19.95" customHeight="1" x14ac:dyDescent="0.3">
      <c r="A11" s="52" t="s">
        <v>329</v>
      </c>
      <c r="B11" s="53"/>
    </row>
    <row r="12" spans="1:9" ht="19.95" customHeight="1" x14ac:dyDescent="0.3">
      <c r="A12" s="54" t="s">
        <v>330</v>
      </c>
      <c r="B12" s="55"/>
    </row>
    <row r="13" spans="1:9" ht="19.95" customHeight="1" x14ac:dyDescent="0.3">
      <c r="A13" s="56" t="s">
        <v>331</v>
      </c>
      <c r="B13" s="57"/>
    </row>
    <row r="14" spans="1:9" ht="19.95" customHeight="1" x14ac:dyDescent="0.3">
      <c r="A14" s="58" t="s">
        <v>332</v>
      </c>
      <c r="B14" s="59"/>
    </row>
    <row r="17" spans="1:11" ht="22.05" customHeight="1" x14ac:dyDescent="0.3">
      <c r="A17" s="36" t="s">
        <v>356</v>
      </c>
      <c r="B17" s="26"/>
      <c r="C17" s="26"/>
      <c r="D17" s="26"/>
      <c r="E17" s="26"/>
      <c r="F17" s="26"/>
      <c r="G17" s="26"/>
      <c r="H17" s="26"/>
      <c r="I17" s="26"/>
    </row>
    <row r="18" spans="1:11" ht="31.95" customHeight="1" x14ac:dyDescent="0.3">
      <c r="A18" s="1" t="s">
        <v>259</v>
      </c>
      <c r="B18" s="1" t="s">
        <v>260</v>
      </c>
      <c r="C18" s="1" t="s">
        <v>261</v>
      </c>
      <c r="D18" s="1" t="s">
        <v>262</v>
      </c>
      <c r="E18" s="1" t="s">
        <v>333</v>
      </c>
      <c r="F18" s="1" t="s">
        <v>334</v>
      </c>
      <c r="G18" s="1" t="s">
        <v>263</v>
      </c>
      <c r="H18" s="1" t="s">
        <v>335</v>
      </c>
      <c r="I18" s="1" t="s">
        <v>336</v>
      </c>
    </row>
    <row r="19" spans="1:11" ht="19.95" customHeight="1" x14ac:dyDescent="0.3">
      <c r="A19" s="17" t="s">
        <v>255</v>
      </c>
      <c r="B19" s="17" t="s">
        <v>348</v>
      </c>
      <c r="C19" s="17">
        <f>SUM('Task Tracker'!D4,'Task Tracker'!D5,'Task Tracker'!D6,'Task Tracker'!D7,'Task Tracker'!D8,'Task Tracker'!D9,'Task Tracker'!D10)</f>
        <v>30</v>
      </c>
      <c r="D19" s="17">
        <f>SUM('Task Tracker'!D11,'Task Tracker'!D12,'Task Tracker'!D13,'Task Tracker'!D24,'Task Tracker'!D25)</f>
        <v>30</v>
      </c>
      <c r="E19" s="17">
        <f>SUM('Task Tracker'!D14,'Task Tracker'!D15,'Task Tracker'!D19)</f>
        <v>12</v>
      </c>
      <c r="F19" s="17">
        <f>SUM('Task Tracker'!D20,'Task Tracker'!D21)</f>
        <v>14</v>
      </c>
      <c r="G19" s="17">
        <f>SUM('Task Tracker'!D22,'Task Tracker'!D23)</f>
        <v>14</v>
      </c>
      <c r="H19" s="17">
        <f>SUM('Task Tracker'!D18)</f>
        <v>6</v>
      </c>
      <c r="I19" s="17">
        <f>SUM('Task Tracker'!D16,'Task Tracker'!D17)</f>
        <v>8</v>
      </c>
    </row>
    <row r="20" spans="1:11" ht="19.95" customHeight="1" x14ac:dyDescent="0.3">
      <c r="A20" s="18" t="s">
        <v>256</v>
      </c>
      <c r="B20" s="18" t="s">
        <v>349</v>
      </c>
      <c r="C20" s="18">
        <v>0</v>
      </c>
      <c r="D20" s="18">
        <f>SUM('Task Tracker'!D34,'Task Tracker'!D35,'Task Tracker'!D37,'Task Tracker'!D47,'Task Tracker'!D53,'Task Tracker'!D54,'Task Tracker'!D55,'Task Tracker'!D57,'Task Tracker'!D58)</f>
        <v>48</v>
      </c>
      <c r="E20" s="18">
        <f>SUM('Task Tracker'!D32,'Task Tracker'!D40,'Task Tracker'!D41,'Task Tracker'!D48,'Task Tracker'!D49,'Task Tracker'!D51,'Task Tracker'!D56)</f>
        <v>38</v>
      </c>
      <c r="F20" s="18">
        <f>SUM('Task Tracker'!D29,'Task Tracker'!D30,'Task Tracker'!D36,'Task Tracker'!D42,'Task Tracker'!D44,'Task Tracker'!D50)</f>
        <v>50</v>
      </c>
      <c r="G20" s="18">
        <f>SUM('Task Tracker'!D31,'Task Tracker'!D38,'Task Tracker'!D39,'Task Tracker'!D43,'Task Tracker'!D46,'Task Tracker'!D45)</f>
        <v>50</v>
      </c>
      <c r="H20" s="18">
        <f>SUM('Task Tracker'!D33,'Task Tracker'!D52)</f>
        <v>12</v>
      </c>
      <c r="I20" s="18">
        <v>0</v>
      </c>
      <c r="J20" s="21"/>
    </row>
    <row r="21" spans="1:11" ht="19.95" customHeight="1" x14ac:dyDescent="0.3">
      <c r="A21" s="19" t="s">
        <v>257</v>
      </c>
      <c r="B21" s="19" t="s">
        <v>350</v>
      </c>
      <c r="C21" s="19">
        <v>0</v>
      </c>
      <c r="D21" s="19">
        <f>SUM('Task Tracker'!D73,'Task Tracker'!D79,'Task Tracker'!D81,'Task Tracker'!D82,'Task Tracker'!D83,'Task Tracker'!D84,'Task Tracker'!D86,'Task Tracker'!D87)</f>
        <v>50</v>
      </c>
      <c r="E21" s="19">
        <f>SUM('Task Tracker'!D70,'Task Tracker'!D71,'Task Tracker'!D76,'Task Tracker'!D77,'Task Tracker'!D85)</f>
        <v>36</v>
      </c>
      <c r="F21" s="19">
        <f>SUM('Task Tracker'!D61,'Task Tracker'!D62,'Task Tracker'!D65,'Task Tracker'!D67,'Task Tracker'!D69,'Task Tracker'!D74,'Task Tracker'!D80)</f>
        <v>50</v>
      </c>
      <c r="G21" s="19">
        <f>SUM('Task Tracker'!D63,'Task Tracker'!D64,'Task Tracker'!D66,'Task Tracker'!D68,'Task Tracker'!D72,'Task Tracker'!D75,'Task Tracker'!D78)</f>
        <v>50</v>
      </c>
      <c r="H21" s="19">
        <v>0</v>
      </c>
      <c r="I21" s="19">
        <v>0</v>
      </c>
      <c r="J21" s="21"/>
    </row>
    <row r="22" spans="1:11" ht="19.95" customHeight="1" x14ac:dyDescent="0.3">
      <c r="A22" s="20" t="s">
        <v>258</v>
      </c>
      <c r="B22" s="20" t="s">
        <v>351</v>
      </c>
      <c r="C22" s="20">
        <f>SUM('Task Tracker'!D110,'Task Tracker'!D109,'Task Tracker'!D103,'Task Tracker'!D102)</f>
        <v>28</v>
      </c>
      <c r="D22" s="20">
        <f>SUM('Task Tracker'!D92,'Task Tracker'!D106)</f>
        <v>16</v>
      </c>
      <c r="E22" s="20">
        <f>SUM('Task Tracker'!D96)</f>
        <v>8</v>
      </c>
      <c r="F22" s="20">
        <v>0</v>
      </c>
      <c r="G22" s="20">
        <v>0</v>
      </c>
      <c r="H22" s="20">
        <f>SUM('Task Tracker'!D90,'Task Tracker'!D91,'Task Tracker'!D97,'Task Tracker'!D99,'Task Tracker'!D100,'Task Tracker'!D104,'Task Tracker'!D108)</f>
        <v>40</v>
      </c>
      <c r="I22" s="20">
        <f>SUM('Task Tracker'!D107,'Task Tracker'!D105,'Task Tracker'!D101,'Task Tracker'!D98,'Task Tracker'!D95,'Task Tracker'!D94,'Task Tracker'!D93)</f>
        <v>40</v>
      </c>
      <c r="J22" s="21"/>
    </row>
    <row r="23" spans="1:11" ht="22.05" customHeight="1" x14ac:dyDescent="0.3">
      <c r="A23" s="1" t="s">
        <v>355</v>
      </c>
      <c r="B23" s="1" t="s">
        <v>337</v>
      </c>
      <c r="C23" s="1">
        <f t="shared" ref="C23:I23" si="0">SUM(C19:C22)</f>
        <v>58</v>
      </c>
      <c r="D23" s="1">
        <f t="shared" si="0"/>
        <v>144</v>
      </c>
      <c r="E23" s="1">
        <f t="shared" si="0"/>
        <v>94</v>
      </c>
      <c r="F23" s="1">
        <f t="shared" si="0"/>
        <v>114</v>
      </c>
      <c r="G23" s="1">
        <f t="shared" si="0"/>
        <v>114</v>
      </c>
      <c r="H23" s="1">
        <f t="shared" si="0"/>
        <v>58</v>
      </c>
      <c r="I23" s="1">
        <f t="shared" si="0"/>
        <v>48</v>
      </c>
    </row>
    <row r="24" spans="1:11" x14ac:dyDescent="0.3">
      <c r="A24" s="1" t="s">
        <v>343</v>
      </c>
      <c r="B24" s="22" t="s">
        <v>344</v>
      </c>
      <c r="C24" s="1">
        <v>8</v>
      </c>
      <c r="D24" s="1">
        <v>6</v>
      </c>
      <c r="E24" s="1">
        <v>6</v>
      </c>
      <c r="F24" s="1">
        <v>4</v>
      </c>
      <c r="G24" s="1">
        <v>4</v>
      </c>
      <c r="H24" s="1">
        <v>4</v>
      </c>
      <c r="I24" s="1">
        <v>6</v>
      </c>
    </row>
    <row r="25" spans="1:11" ht="24" x14ac:dyDescent="0.3">
      <c r="A25" s="22" t="s">
        <v>345</v>
      </c>
      <c r="B25" s="22" t="s">
        <v>346</v>
      </c>
      <c r="C25" s="23">
        <f>C23*8*C24*1.2</f>
        <v>4454.3999999999996</v>
      </c>
      <c r="D25" s="23">
        <f>D23*8*D24*1.2</f>
        <v>8294.4</v>
      </c>
      <c r="E25" s="23">
        <f t="shared" ref="E25:H25" si="1">E23*8*E24*1.2</f>
        <v>5414.4</v>
      </c>
      <c r="F25" s="23">
        <f t="shared" si="1"/>
        <v>4377.5999999999995</v>
      </c>
      <c r="G25" s="23">
        <f t="shared" si="1"/>
        <v>4377.5999999999995</v>
      </c>
      <c r="H25" s="23">
        <f t="shared" si="1"/>
        <v>2227.1999999999998</v>
      </c>
      <c r="I25" s="23">
        <f>I23*8*I24*1.2</f>
        <v>2764.7999999999997</v>
      </c>
      <c r="J25" s="24"/>
      <c r="K25" s="24"/>
    </row>
    <row r="26" spans="1:11" x14ac:dyDescent="0.3">
      <c r="B26" t="s">
        <v>342</v>
      </c>
    </row>
  </sheetData>
  <mergeCells count="14">
    <mergeCell ref="A1:I1"/>
    <mergeCell ref="A17:I17"/>
    <mergeCell ref="A3:B3"/>
    <mergeCell ref="A4:B4"/>
    <mergeCell ref="A5:B5"/>
    <mergeCell ref="A6:B6"/>
    <mergeCell ref="A7:B7"/>
    <mergeCell ref="A8:B8"/>
    <mergeCell ref="A9:B9"/>
    <mergeCell ref="A10:B10"/>
    <mergeCell ref="A11:B11"/>
    <mergeCell ref="A12:B12"/>
    <mergeCell ref="A13:B13"/>
    <mergeCell ref="A14:B14"/>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 Tracker</vt:lpstr>
      <vt:lpstr>Legend &amp;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Mahmoud Qaddoura</cp:lastModifiedBy>
  <dcterms:created xsi:type="dcterms:W3CDTF">2026-06-02T10:24:28Z</dcterms:created>
  <dcterms:modified xsi:type="dcterms:W3CDTF">2026-06-22T11:51:25Z</dcterms:modified>
</cp:coreProperties>
</file>